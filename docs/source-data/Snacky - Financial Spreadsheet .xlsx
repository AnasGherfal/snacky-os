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Ahmed" sheetId="2" r:id="rId6"/>
    <sheet state="visible" name="Lists" sheetId="3" r:id="rId7"/>
    <sheet state="visible" name="Txn_Control" sheetId="4" r:id="rId8"/>
    <sheet state="visible" name="Cash Control" sheetId="5" r:id="rId9"/>
    <sheet state="visible" name="Targets" sheetId="6" r:id="rId10"/>
    <sheet state="hidden" name="Places" sheetId="7" r:id="rId11"/>
    <sheet state="hidden" name="Summary" sheetId="8" r:id="rId12"/>
    <sheet state="hidden" name="REstock prod" sheetId="9" r:id="rId13"/>
    <sheet state="hidden" name="Drinks" sheetId="10" r:id="rId14"/>
    <sheet state="hidden" name="Chips" sheetId="11" r:id="rId15"/>
    <sheet state="hidden" name="Snacks" sheetId="12" r:id="rId16"/>
    <sheet state="hidden" name="Product Master" sheetId="13" r:id="rId17"/>
  </sheets>
  <definedNames>
    <definedName name="COGS">LAMBDA((Snacks!$D$2 + Snacks!$K$2 - Snacks!$M$2) * Snacks!$E$2)</definedName>
  </definedNames>
  <calcPr/>
</workbook>
</file>

<file path=xl/sharedStrings.xml><?xml version="1.0" encoding="utf-8"?>
<sst xmlns="http://schemas.openxmlformats.org/spreadsheetml/2006/main" count="6085" uniqueCount="512">
  <si>
    <t>Anas</t>
  </si>
  <si>
    <t>Snacky</t>
  </si>
  <si>
    <t>Total income</t>
  </si>
  <si>
    <t>Revenue Income</t>
  </si>
  <si>
    <t>ads Income</t>
  </si>
  <si>
    <t>Total Spent</t>
  </si>
  <si>
    <t>Name</t>
  </si>
  <si>
    <t xml:space="preserve">Transactions </t>
  </si>
  <si>
    <t>Average Monthly Net Revenue per Machine (including ad revenue)</t>
  </si>
  <si>
    <t>Date</t>
  </si>
  <si>
    <t>NameTransaction Amount</t>
  </si>
  <si>
    <t>Transaction</t>
  </si>
  <si>
    <t>Currency</t>
  </si>
  <si>
    <t>Money Flow</t>
  </si>
  <si>
    <t>Transaction Type</t>
  </si>
  <si>
    <t>Location</t>
  </si>
  <si>
    <t>Transaction Description</t>
  </si>
  <si>
    <t>$</t>
  </si>
  <si>
    <t>Money Out</t>
  </si>
  <si>
    <t xml:space="preserve">شراء اول مكينه </t>
  </si>
  <si>
    <t>سعر التوصيل من شاهين</t>
  </si>
  <si>
    <t>LYD</t>
  </si>
  <si>
    <t>توديع قيمه فالمصرف</t>
  </si>
  <si>
    <t>فتح حساب في مصرف السراي</t>
  </si>
  <si>
    <t>سعر تحويل من مصرف الى مصرف عند شراء الماكينه</t>
  </si>
  <si>
    <t>Product Restocking</t>
  </si>
  <si>
    <t>بضاعه</t>
  </si>
  <si>
    <t>بضاعه (مياه)</t>
  </si>
  <si>
    <t>توصيل الماكينه بالونش</t>
  </si>
  <si>
    <t>طباعه وتصميم</t>
  </si>
  <si>
    <t>سعر الشحن من شاهين شحنة الخيط</t>
  </si>
  <si>
    <t>كرت LTT</t>
  </si>
  <si>
    <t>Money In</t>
  </si>
  <si>
    <t>Revenue</t>
  </si>
  <si>
    <t>deplomacyMall</t>
  </si>
  <si>
    <t>قيمة اول 5 ايام</t>
  </si>
  <si>
    <t>مياه + لصقة دبل فيس</t>
  </si>
  <si>
    <t>طباعة توربو للايت بوكس</t>
  </si>
  <si>
    <t>ads</t>
  </si>
  <si>
    <t xml:space="preserve"> دعاية توربو ( من نص 9 الى نص 12)</t>
  </si>
  <si>
    <t xml:space="preserve">بضاعه </t>
  </si>
  <si>
    <t>تعديل الميزانيه</t>
  </si>
  <si>
    <t>تركيب اللافته عل تلاجه</t>
  </si>
  <si>
    <t>ارسال (change box, motherboard) الى الصين</t>
  </si>
  <si>
    <t>from snacky</t>
  </si>
  <si>
    <t>ارجاع قيمة الى محمد العتيري</t>
  </si>
  <si>
    <t>ارجاع شحن (change box, motherboard)</t>
  </si>
  <si>
    <t>بضاعه من محل لجنب دبلوماسي</t>
  </si>
  <si>
    <t xml:space="preserve">اجار فوركه لتحريك المكينه </t>
  </si>
  <si>
    <t>بضاعه من المتحده والمحل لديما ناخد منه</t>
  </si>
  <si>
    <t>تمت تسوية سعر الماكينه مع تيسير</t>
  </si>
  <si>
    <t>فواتير</t>
  </si>
  <si>
    <t>سحبت فلوس الايداع لفتح شركه</t>
  </si>
  <si>
    <t>توربو من نص 12 الى نص 3</t>
  </si>
  <si>
    <t>الى دعاء المصممه</t>
  </si>
  <si>
    <t>طباعة الستكر لعصير البرتقال</t>
  </si>
  <si>
    <t>to snacky</t>
  </si>
  <si>
    <t>لشراء ماكينات</t>
  </si>
  <si>
    <t>دفع قيمة 21,217 دينار لشراء عدد اثنان مكينات</t>
  </si>
  <si>
    <t>shipping</t>
  </si>
  <si>
    <t>توصيل change box من شاهين</t>
  </si>
  <si>
    <t>ارجاع بعض القيمه اللتي تمت دفعها في البضاعه</t>
  </si>
  <si>
    <t>تعديل ميزانيه</t>
  </si>
  <si>
    <t>Rent</t>
  </si>
  <si>
    <t>ايجار الدبلوماسي شهر 11 و 12</t>
  </si>
  <si>
    <t>شحن الماكينه التانيه من شاهين</t>
  </si>
  <si>
    <t>شهر 3</t>
  </si>
  <si>
    <t>نصف قيمة دعايه توربو تلاته اشهر</t>
  </si>
  <si>
    <t>تعديل الميزانية</t>
  </si>
  <si>
    <t xml:space="preserve"> Anas</t>
  </si>
  <si>
    <t>ايام العيد</t>
  </si>
  <si>
    <t>دبلوماسي شهر تنين وتلاته واربعه</t>
  </si>
  <si>
    <t>charity</t>
  </si>
  <si>
    <t>نصف قيمة التاني دعايه توربو تلاته اشهر</t>
  </si>
  <si>
    <t>Doaa</t>
  </si>
  <si>
    <t>تخليص الشحن مكينتين</t>
  </si>
  <si>
    <t>HTMall</t>
  </si>
  <si>
    <t>ايجار سته شهور مقدم HTmall</t>
  </si>
  <si>
    <t xml:space="preserve">دعايه توربو تلاته اشهر </t>
  </si>
  <si>
    <t>HappyLand</t>
  </si>
  <si>
    <t>ونش لنقل الماكينه</t>
  </si>
  <si>
    <t>دعاية توربو تلاته اشهر</t>
  </si>
  <si>
    <t>AlmouasafatHospital</t>
  </si>
  <si>
    <t>الى تيسير سعر شراء (bill accepter)</t>
  </si>
  <si>
    <t xml:space="preserve">تعديل ميزانيه </t>
  </si>
  <si>
    <t>دعاية توربو الى شهر 3/2026</t>
  </si>
  <si>
    <t>نقل الماكينه</t>
  </si>
  <si>
    <t>تحويل دولار</t>
  </si>
  <si>
    <t>كهرباء شهر 6/7/8</t>
  </si>
  <si>
    <t xml:space="preserve">توصيل </t>
  </si>
  <si>
    <t>كهرباء</t>
  </si>
  <si>
    <t>تحويل الى شهاب, 30% من سعر الماكينه الجديده وبغص مصاريف الدعايه</t>
  </si>
  <si>
    <t>SeaCost</t>
  </si>
  <si>
    <t>حق نقل ترجيع الماكينه</t>
  </si>
  <si>
    <t xml:space="preserve">new machine </t>
  </si>
  <si>
    <t>عربون للمصمم</t>
  </si>
  <si>
    <t>ايجار seacost</t>
  </si>
  <si>
    <t>Ahmed</t>
  </si>
  <si>
    <t>مرتب شهر 11 احمد</t>
  </si>
  <si>
    <t>لاحمد لشراء بضاعه</t>
  </si>
  <si>
    <t>خضم ديون الى توربو</t>
  </si>
  <si>
    <t>نقل ماكينات</t>
  </si>
  <si>
    <t>تكميل تصميم الراكون</t>
  </si>
  <si>
    <t>تصميم الماكينه</t>
  </si>
  <si>
    <t>storage</t>
  </si>
  <si>
    <t>اجار المخزن</t>
  </si>
  <si>
    <t>Istiklal</t>
  </si>
  <si>
    <t>صمصار المخزن</t>
  </si>
  <si>
    <t>ايجار seacoast</t>
  </si>
  <si>
    <t>دعاية توربو شهر 3,4,5</t>
  </si>
  <si>
    <t>مرتب شهر طناش وواحد</t>
  </si>
  <si>
    <t>AlTahaddy</t>
  </si>
  <si>
    <t>HTLand</t>
  </si>
  <si>
    <t>تركيب وتصميم ملصق التحدي</t>
  </si>
  <si>
    <t>نقل عدد اثنان ماكينه</t>
  </si>
  <si>
    <t>ايجار وعمال</t>
  </si>
  <si>
    <t>ايجارسته شهور دبلوماسي من شهر 9 - الى شهر 2</t>
  </si>
  <si>
    <t xml:space="preserve">ايجار اتش تي </t>
  </si>
  <si>
    <t>SeaCost2</t>
  </si>
  <si>
    <t>ايجار</t>
  </si>
  <si>
    <t>نقل اله</t>
  </si>
  <si>
    <t>ايجار مخزن</t>
  </si>
  <si>
    <t>جزء الى نوري تركيب لصقه</t>
  </si>
  <si>
    <t>KhalijUniversity</t>
  </si>
  <si>
    <t>ايجار شهر 4</t>
  </si>
  <si>
    <t>لنوري تركيب تصاميم</t>
  </si>
  <si>
    <t>شراء دولار</t>
  </si>
  <si>
    <t>تفعيل مصرف</t>
  </si>
  <si>
    <t>البضاعه</t>
  </si>
  <si>
    <t>مرتب</t>
  </si>
  <si>
    <t>Column 4</t>
  </si>
  <si>
    <t>Column 5</t>
  </si>
  <si>
    <t>Bucket</t>
  </si>
  <si>
    <t>Type</t>
  </si>
  <si>
    <t>Inventory</t>
  </si>
  <si>
    <t>Inflow</t>
  </si>
  <si>
    <t>Operations</t>
  </si>
  <si>
    <t>Fixed Costs</t>
  </si>
  <si>
    <t>Profit</t>
  </si>
  <si>
    <t>Owner Draw</t>
  </si>
  <si>
    <t>Transport</t>
  </si>
  <si>
    <t>Storage</t>
  </si>
  <si>
    <t>Signed Amount</t>
  </si>
  <si>
    <t>Auto Bucket</t>
  </si>
  <si>
    <t>Bucket Override</t>
  </si>
  <si>
    <t>Final Bucket</t>
  </si>
  <si>
    <t>Review</t>
  </si>
  <si>
    <t/>
  </si>
  <si>
    <t>Control Start Date</t>
  </si>
  <si>
    <t>Starting Inventory Balance</t>
  </si>
  <si>
    <t>Starting Operations Balance</t>
  </si>
  <si>
    <t>Starting Fixed Costs Balance</t>
  </si>
  <si>
    <t>Starting Profit Balance</t>
  </si>
  <si>
    <t>Starting Balance</t>
  </si>
  <si>
    <t>Current Balance</t>
  </si>
  <si>
    <t>This Month</t>
  </si>
  <si>
    <t>Remaining</t>
  </si>
  <si>
    <t>Real Profit Remaining</t>
  </si>
  <si>
    <t xml:space="preserve">Bucket      </t>
  </si>
  <si>
    <t>Actual</t>
  </si>
  <si>
    <t>Target</t>
  </si>
  <si>
    <t>Status</t>
  </si>
  <si>
    <t>Cash Remaining</t>
  </si>
  <si>
    <t xml:space="preserve">Bucket        </t>
  </si>
  <si>
    <t>Target %</t>
  </si>
  <si>
    <t>Date Added</t>
  </si>
  <si>
    <t xml:space="preserve">Place Name	</t>
  </si>
  <si>
    <t xml:space="preserve">Contact Name	</t>
  </si>
  <si>
    <t xml:space="preserve">Phone Number	</t>
  </si>
  <si>
    <t xml:space="preserve">Location/Address	</t>
  </si>
  <si>
    <t xml:space="preserve">Type of Place	</t>
  </si>
  <si>
    <t>Priority</t>
  </si>
  <si>
    <t xml:space="preserve">Status	</t>
  </si>
  <si>
    <t>Notes</t>
  </si>
  <si>
    <t xml:space="preserve">Company name </t>
  </si>
  <si>
    <t>Product</t>
  </si>
  <si>
    <t>Phone #</t>
  </si>
  <si>
    <t xml:space="preserve">روضة  اورانج 
</t>
  </si>
  <si>
    <t>اسماء محمد عريبي</t>
  </si>
  <si>
    <t>السياحية ... سوق القبب حي الوحدة العربية</t>
  </si>
  <si>
    <t>روضه</t>
  </si>
  <si>
    <t>Low</t>
  </si>
  <si>
    <t xml:space="preserve">Interested	</t>
  </si>
  <si>
    <t>مزن الدوليه</t>
  </si>
  <si>
    <t>مشروب هيلتي كولا</t>
  </si>
  <si>
    <t>مدرسة المدارات الدولية</t>
  </si>
  <si>
    <t xml:space="preserve">السياحية </t>
  </si>
  <si>
    <t>مدرسه</t>
  </si>
  <si>
    <t xml:space="preserve">Medium </t>
  </si>
  <si>
    <t xml:space="preserve">Waiting for Machine	</t>
  </si>
  <si>
    <t>تم موافقتهم ب نسبه 10% من المبيعات ك ايجار</t>
  </si>
  <si>
    <t>غداء الموسم</t>
  </si>
  <si>
    <t>بطاطا سبدز</t>
  </si>
  <si>
    <t>ترانيم (زناته)</t>
  </si>
  <si>
    <t xml:space="preserve">احمد </t>
  </si>
  <si>
    <t>زناته</t>
  </si>
  <si>
    <t>مركز كورسات</t>
  </si>
  <si>
    <t>منارات</t>
  </si>
  <si>
    <t>حي الاندلس</t>
  </si>
  <si>
    <t>المواصفات</t>
  </si>
  <si>
    <t>ابوبكر شويشين</t>
  </si>
  <si>
    <t>طريق المطار</t>
  </si>
  <si>
    <t xml:space="preserve">مشفى </t>
  </si>
  <si>
    <t xml:space="preserve">High </t>
  </si>
  <si>
    <t>Installed</t>
  </si>
  <si>
    <t>مدرسة الائتلاف الأفضل للتعليم الفرنسي</t>
  </si>
  <si>
    <t>فرح بن عثمان</t>
  </si>
  <si>
    <t>0914712323
0925174633</t>
  </si>
  <si>
    <t>خلف مخبز ابونواس</t>
  </si>
  <si>
    <t>مدرسة سي كوست</t>
  </si>
  <si>
    <t>عبد السلام رمضان</t>
  </si>
  <si>
    <t xml:space="preserve">حي الاندلس, حي دمشق, بقرب جامعة ناصر
</t>
  </si>
  <si>
    <t>تم التفاهم عل 750 شهريا بنائا على 400 طالب</t>
  </si>
  <si>
    <t>الكلية الدولية</t>
  </si>
  <si>
    <t>نبيل</t>
  </si>
  <si>
    <t xml:space="preserve">Follow-Up Later        </t>
  </si>
  <si>
    <t>مركز عافية لطب الاسنان</t>
  </si>
  <si>
    <t>د.ساره الكوحة</t>
  </si>
  <si>
    <t>11 يونيو</t>
  </si>
  <si>
    <t>عياده</t>
  </si>
  <si>
    <t>مستشفى رويال الطبي</t>
  </si>
  <si>
    <t>حسين الشاوش</t>
  </si>
  <si>
    <t>الزاويه</t>
  </si>
  <si>
    <t xml:space="preserve">مستشفى </t>
  </si>
  <si>
    <t>المدرسه الكنديه</t>
  </si>
  <si>
    <t>السياحيه</t>
  </si>
  <si>
    <t>جامعة طرابلس</t>
  </si>
  <si>
    <t>شركة هواوي</t>
  </si>
  <si>
    <t>علي المقطوف</t>
  </si>
  <si>
    <t>النوفليين</t>
  </si>
  <si>
    <t>شركه</t>
  </si>
  <si>
    <t>New Lead</t>
  </si>
  <si>
    <t>مختبرالسراي</t>
  </si>
  <si>
    <t>وليد</t>
  </si>
  <si>
    <t>مختبر</t>
  </si>
  <si>
    <t>مصحة الاستقلال</t>
  </si>
  <si>
    <t>محمد حسين احمد</t>
  </si>
  <si>
    <t>سوق الجمعة</t>
  </si>
  <si>
    <t>مستشفى</t>
  </si>
  <si>
    <t xml:space="preserve">كلية ومعهد طرابلس العالي والمتوسط للعلوم الطبية والادارية 
</t>
  </si>
  <si>
    <t>د افراح سليم</t>
  </si>
  <si>
    <t>910187505 / 0945154518</t>
  </si>
  <si>
    <t>فرع عين زارة</t>
  </si>
  <si>
    <t xml:space="preserve">كلية </t>
  </si>
  <si>
    <t xml:space="preserve">معهد ليبيا التميز العالي للعلوم الطبية </t>
  </si>
  <si>
    <t>عبدالعزيزالدرهوبي</t>
  </si>
  <si>
    <t>فرع قصر بن غشير</t>
  </si>
  <si>
    <t xml:space="preserve">معهد خصوصي متوسط وعالي
</t>
  </si>
  <si>
    <t>مدرسه لسان العرب</t>
  </si>
  <si>
    <t>احمد رجب سليمان</t>
  </si>
  <si>
    <t>السبعه</t>
  </si>
  <si>
    <t>مدرسة شمس الوطن</t>
  </si>
  <si>
    <t>بسمة رجب علي بالخير</t>
  </si>
  <si>
    <t>عين زاره السدرة</t>
  </si>
  <si>
    <t>800 طالب</t>
  </si>
  <si>
    <t>XGYM</t>
  </si>
  <si>
    <t>ناجي بن نو به</t>
  </si>
  <si>
    <t>طريق الشط فتحت النادي البحري</t>
  </si>
  <si>
    <t>صالة رياضه</t>
  </si>
  <si>
    <t>أكاديمية باز لعلوم الطيران</t>
  </si>
  <si>
    <t>ونيس فوزي الشلماني</t>
  </si>
  <si>
    <t>السراج</t>
  </si>
  <si>
    <t>أكاديمية طيران دولية</t>
  </si>
  <si>
    <t>اكادمية سيناء</t>
  </si>
  <si>
    <t>امين القماطي</t>
  </si>
  <si>
    <t>سوق الجمعة / جزيرة اولاد دياب معيتيقة</t>
  </si>
  <si>
    <t>اكادمية</t>
  </si>
  <si>
    <t>شركة بريستو ايت</t>
  </si>
  <si>
    <t>احمد نجومه</t>
  </si>
  <si>
    <t>شركة توصيل تحتوي على 200 موظف في مبنى الادارة الرئيسية</t>
  </si>
  <si>
    <t>مركز المستقبل للدورات المنهجية</t>
  </si>
  <si>
    <t>ايناس</t>
  </si>
  <si>
    <t>ثانوية افريقيا</t>
  </si>
  <si>
    <t>حواء ادم</t>
  </si>
  <si>
    <t xml:space="preserve">مدرسه بها 600 طالب و 150 معلمه </t>
  </si>
  <si>
    <t>Category</t>
  </si>
  <si>
    <t>Total COGS</t>
  </si>
  <si>
    <t>Total Revenue</t>
  </si>
  <si>
    <t>Total Profit</t>
  </si>
  <si>
    <t>Drinks</t>
  </si>
  <si>
    <t>Snacks</t>
  </si>
  <si>
    <t>Chips</t>
  </si>
  <si>
    <t>Total</t>
  </si>
  <si>
    <t>Column 1</t>
  </si>
  <si>
    <t>Column 2</t>
  </si>
  <si>
    <t>Column 3</t>
  </si>
  <si>
    <t>Commodity type</t>
  </si>
  <si>
    <t>Pay by cash</t>
  </si>
  <si>
    <t>Quantity</t>
  </si>
  <si>
    <t>Gross margin</t>
  </si>
  <si>
    <t>Proportion</t>
  </si>
  <si>
    <t>Total amount</t>
  </si>
  <si>
    <t>Total quantity</t>
  </si>
  <si>
    <t>Water</t>
  </si>
  <si>
    <t>Drink</t>
  </si>
  <si>
    <t>Chocolates</t>
  </si>
  <si>
    <t>Description</t>
  </si>
  <si>
    <t xml:space="preserve">تم ادخال فاتوره </t>
  </si>
  <si>
    <t>Product Name</t>
  </si>
  <si>
    <t># pack</t>
  </si>
  <si>
    <t>items inside the pack</t>
  </si>
  <si>
    <t>Initial Stock</t>
  </si>
  <si>
    <t>Cost per Unit</t>
  </si>
  <si>
    <t>Selling Price per Unit</t>
  </si>
  <si>
    <t>margin profit</t>
  </si>
  <si>
    <t># packs sold</t>
  </si>
  <si>
    <t>Quantity Sold</t>
  </si>
  <si>
    <t xml:space="preserve"># pack Restoked </t>
  </si>
  <si>
    <t>Restocked Quantity</t>
  </si>
  <si>
    <t># Curremt packs</t>
  </si>
  <si>
    <t>Current Stock</t>
  </si>
  <si>
    <t>COGS</t>
  </si>
  <si>
    <t>Gross Profit</t>
  </si>
  <si>
    <t>Month</t>
  </si>
  <si>
    <t>Green</t>
  </si>
  <si>
    <t>X!R</t>
  </si>
  <si>
    <t xml:space="preserve">King </t>
  </si>
  <si>
    <t>Power</t>
  </si>
  <si>
    <t>Mogu Mogu</t>
  </si>
  <si>
    <t>سن توب سعودي</t>
  </si>
  <si>
    <t>الندى زنجبيل</t>
  </si>
  <si>
    <t>بتري الندى</t>
  </si>
  <si>
    <t>الندى عنب</t>
  </si>
  <si>
    <t>العين طلقه</t>
  </si>
  <si>
    <t>Total (8)</t>
  </si>
  <si>
    <t>Boss</t>
  </si>
  <si>
    <t>Nada Energy Drink</t>
  </si>
  <si>
    <t xml:space="preserve">X!R </t>
  </si>
  <si>
    <t>العين حكه</t>
  </si>
  <si>
    <t>الندى بتري</t>
  </si>
  <si>
    <t>X!R Mojito</t>
  </si>
  <si>
    <t>Total (9)</t>
  </si>
  <si>
    <t>sunTop Saudi</t>
  </si>
  <si>
    <t>X!R 500ml</t>
  </si>
  <si>
    <t>Power 500ml</t>
  </si>
  <si>
    <t>sunTop Masa</t>
  </si>
  <si>
    <t>water</t>
  </si>
  <si>
    <t>freez</t>
  </si>
  <si>
    <t>Total (12)</t>
  </si>
  <si>
    <t>Total 2024</t>
  </si>
  <si>
    <t>freez lower price</t>
  </si>
  <si>
    <t>suntop</t>
  </si>
  <si>
    <t>masa suntop</t>
  </si>
  <si>
    <t xml:space="preserve">dark blue </t>
  </si>
  <si>
    <t>al ain can</t>
  </si>
  <si>
    <t xml:space="preserve">x!r </t>
  </si>
  <si>
    <t>power 500ml</t>
  </si>
  <si>
    <t>snacky orange</t>
  </si>
  <si>
    <t>x!r 500ml</t>
  </si>
  <si>
    <t>monster</t>
  </si>
  <si>
    <t xml:space="preserve">kinza </t>
  </si>
  <si>
    <t>Total (1)2025</t>
  </si>
  <si>
    <t xml:space="preserve">power </t>
  </si>
  <si>
    <t xml:space="preserve">power lower price </t>
  </si>
  <si>
    <t>xo energy</t>
  </si>
  <si>
    <t>x!r</t>
  </si>
  <si>
    <t>x!r lower</t>
  </si>
  <si>
    <t>suntop masa</t>
  </si>
  <si>
    <t>pepsi 500ml</t>
  </si>
  <si>
    <t>sprite 300ml</t>
  </si>
  <si>
    <t>shewppers</t>
  </si>
  <si>
    <t>green</t>
  </si>
  <si>
    <t>barbican</t>
  </si>
  <si>
    <t>Total (2)2025</t>
  </si>
  <si>
    <t>maxfly</t>
  </si>
  <si>
    <t>suntop saudi</t>
  </si>
  <si>
    <t>suntop alrihan</t>
  </si>
  <si>
    <t>boba tea</t>
  </si>
  <si>
    <t>maxbrew</t>
  </si>
  <si>
    <t>Total (3)2025</t>
  </si>
  <si>
    <t>x!r price increase</t>
  </si>
  <si>
    <t>al rihan</t>
  </si>
  <si>
    <t>vitaGo suntop</t>
  </si>
  <si>
    <t>tango</t>
  </si>
  <si>
    <t>skitelies drink</t>
  </si>
  <si>
    <t>Total 2025</t>
  </si>
  <si>
    <t># packs</t>
  </si>
  <si>
    <t>items in pack</t>
  </si>
  <si>
    <t>Month/year</t>
  </si>
  <si>
    <t>Tiger Family</t>
  </si>
  <si>
    <t>Tiger meduim</t>
  </si>
  <si>
    <t xml:space="preserve">79g Master Sitos </t>
  </si>
  <si>
    <t>Sitos Meduim</t>
  </si>
  <si>
    <t>Sitos Small</t>
  </si>
  <si>
    <t>spuds family</t>
  </si>
  <si>
    <t>Spuds 40g</t>
  </si>
  <si>
    <t>marshmallow haribo</t>
  </si>
  <si>
    <t>MrCrunch</t>
  </si>
  <si>
    <t>MrCrunch طبيعيه</t>
  </si>
  <si>
    <t>الابطال شيبس</t>
  </si>
  <si>
    <t>شيبستي</t>
  </si>
  <si>
    <t>Tiger meduim*40</t>
  </si>
  <si>
    <t>mrCrunch</t>
  </si>
  <si>
    <t>tiger *12</t>
  </si>
  <si>
    <t>tiger *16</t>
  </si>
  <si>
    <t>Tiger *40</t>
  </si>
  <si>
    <t>Spuds *10</t>
  </si>
  <si>
    <t>Spuds  *15</t>
  </si>
  <si>
    <t>Stix DrFood</t>
  </si>
  <si>
    <t>Sitos 90g</t>
  </si>
  <si>
    <t>Sitos 50g</t>
  </si>
  <si>
    <t>Maxxx chips</t>
  </si>
  <si>
    <t>popcorn funday</t>
  </si>
  <si>
    <t>Takis *18</t>
  </si>
  <si>
    <t>master sitos 90g</t>
  </si>
  <si>
    <t>popcorn funday pizza</t>
  </si>
  <si>
    <t>tiger excllence</t>
  </si>
  <si>
    <t>buffies</t>
  </si>
  <si>
    <t>mr crunch normal</t>
  </si>
  <si>
    <t>mr crunch</t>
  </si>
  <si>
    <t>mr crunch cheez top</t>
  </si>
  <si>
    <t xml:space="preserve">mr crucnh </t>
  </si>
  <si>
    <t>Takis *</t>
  </si>
  <si>
    <t>total (1)2025</t>
  </si>
  <si>
    <t>Takis</t>
  </si>
  <si>
    <t>mr crunch top cheez</t>
  </si>
  <si>
    <t>tiger excllence medium</t>
  </si>
  <si>
    <t>tiger excellence jumbo</t>
  </si>
  <si>
    <t xml:space="preserve">chips pattes </t>
  </si>
  <si>
    <t>pringles</t>
  </si>
  <si>
    <t>dorits</t>
  </si>
  <si>
    <t>total (2)2025</t>
  </si>
  <si>
    <t>pringles bugle</t>
  </si>
  <si>
    <t>dDoritos</t>
  </si>
  <si>
    <t>bugles</t>
  </si>
  <si>
    <t>takis</t>
  </si>
  <si>
    <t>Chots</t>
  </si>
  <si>
    <t>Dorits fake</t>
  </si>
  <si>
    <t>Doritos f</t>
  </si>
  <si>
    <t>Doritos f-</t>
  </si>
  <si>
    <t>Doritos</t>
  </si>
  <si>
    <t>Column 16</t>
  </si>
  <si>
    <t>Laviva</t>
  </si>
  <si>
    <t>Bella</t>
  </si>
  <si>
    <t xml:space="preserve">Winky cake </t>
  </si>
  <si>
    <t>Janaty biscuit</t>
  </si>
  <si>
    <t xml:space="preserve">Regno </t>
  </si>
  <si>
    <t>Gerdena Love me</t>
  </si>
  <si>
    <t>wafe'up extra</t>
  </si>
  <si>
    <t>Today cake</t>
  </si>
  <si>
    <t xml:space="preserve">Reflex Fingers </t>
  </si>
  <si>
    <t>Wanted chocolate</t>
  </si>
  <si>
    <t>DrFood</t>
  </si>
  <si>
    <t>Power Chocolate</t>
  </si>
  <si>
    <t>Adicto Dark</t>
  </si>
  <si>
    <t>Laviva wafer</t>
  </si>
  <si>
    <t xml:space="preserve">Crash </t>
  </si>
  <si>
    <t>كيكة دانه</t>
  </si>
  <si>
    <t>Cake Vatile</t>
  </si>
  <si>
    <t>Dounate</t>
  </si>
  <si>
    <t>fun tom cake</t>
  </si>
  <si>
    <t>brawnie</t>
  </si>
  <si>
    <t>bella</t>
  </si>
  <si>
    <t>Total(9)</t>
  </si>
  <si>
    <t>wanted</t>
  </si>
  <si>
    <t>wafe'up</t>
  </si>
  <si>
    <t>cake rolles</t>
  </si>
  <si>
    <t>Dana cake</t>
  </si>
  <si>
    <t>cake wahat</t>
  </si>
  <si>
    <t>cake camar spong</t>
  </si>
  <si>
    <t>Roshen</t>
  </si>
  <si>
    <t>TOtal(12)</t>
  </si>
  <si>
    <t xml:space="preserve">Roshen </t>
  </si>
  <si>
    <t>chocolate flick flack</t>
  </si>
  <si>
    <t>cake ono</t>
  </si>
  <si>
    <t>vimto candy</t>
  </si>
  <si>
    <t xml:space="preserve">nileno </t>
  </si>
  <si>
    <t>Gerdena</t>
  </si>
  <si>
    <t>wafer loacker</t>
  </si>
  <si>
    <t>mr bite</t>
  </si>
  <si>
    <t>total 1 (2025)</t>
  </si>
  <si>
    <t>vivaldia</t>
  </si>
  <si>
    <t>marshmello</t>
  </si>
  <si>
    <t>kinder bueno</t>
  </si>
  <si>
    <t>kinder country</t>
  </si>
  <si>
    <t>m&amp;m</t>
  </si>
  <si>
    <t>skittles</t>
  </si>
  <si>
    <t>kitkat</t>
  </si>
  <si>
    <t>bonart sweet</t>
  </si>
  <si>
    <t>helo kitty</t>
  </si>
  <si>
    <t>flik flak</t>
  </si>
  <si>
    <t>wafe up</t>
  </si>
  <si>
    <t>total 2 (2025)</t>
  </si>
  <si>
    <t>jelly</t>
  </si>
  <si>
    <t>doubla</t>
  </si>
  <si>
    <t>laviva</t>
  </si>
  <si>
    <t>kinder bones</t>
  </si>
  <si>
    <t>total 3 (2025)</t>
  </si>
  <si>
    <t xml:space="preserve">snickers </t>
  </si>
  <si>
    <t>twix</t>
  </si>
  <si>
    <t>maltesers</t>
  </si>
  <si>
    <t>Unit Cost</t>
  </si>
  <si>
    <t>Selling Price</t>
  </si>
  <si>
    <t>Pack Size</t>
  </si>
  <si>
    <t>Margin</t>
  </si>
  <si>
    <t>Effective Date</t>
  </si>
  <si>
    <t>King</t>
  </si>
  <si>
    <t>dark blue</t>
  </si>
  <si>
    <t>kinza</t>
  </si>
  <si>
    <t>power</t>
  </si>
  <si>
    <t>power lower price</t>
  </si>
  <si>
    <t>79g Master Sitos</t>
  </si>
  <si>
    <t>Spuds *15</t>
  </si>
  <si>
    <t>mr crucnh</t>
  </si>
  <si>
    <t>chips pattes</t>
  </si>
  <si>
    <t>Snack</t>
  </si>
  <si>
    <t>Winky cake</t>
  </si>
  <si>
    <t>Regno</t>
  </si>
  <si>
    <t>Reflex Fingers</t>
  </si>
  <si>
    <t>Crash</t>
  </si>
  <si>
    <t>nileno</t>
  </si>
  <si>
    <t>snickers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</si>
</sst>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LYD ]#,##0.00"/>
    <numFmt numFmtId="165" formatCode="&quot;$&quot;#,##0.00"/>
    <numFmt numFmtId="166" formatCode="M/d/yyyy"/>
    <numFmt numFmtId="167" formatCode="m/d/yyyy"/>
  </numFmts>
  <fonts count="24">
    <font>
      <sz val="11.0"/>
      <color theme="1"/>
      <name val="Calibri"/>
      <scheme val="minor"/>
    </font>
    <font>
      <color theme="1"/>
      <name val="Calibri"/>
      <scheme val="minor"/>
    </font>
    <font>
      <sz val="30.0"/>
      <color rgb="FF70A763"/>
      <name val="Calibri"/>
      <scheme val="minor"/>
    </font>
    <font>
      <sz val="18.0"/>
      <color rgb="FFFFFFFF"/>
      <name val="Calibri"/>
    </font>
    <font>
      <sz val="25.0"/>
      <color rgb="FFB7B7B7"/>
      <name val="Calibri"/>
      <scheme val="minor"/>
    </font>
    <font>
      <sz val="40.0"/>
      <color rgb="FFF79646"/>
      <name val="Calibri"/>
      <scheme val="minor"/>
    </font>
    <font/>
    <font>
      <sz val="10.0"/>
      <color theme="1"/>
      <name val="Calibri"/>
    </font>
    <font>
      <sz val="12.0"/>
      <color rgb="FF0D0D0D"/>
      <name val="Ui-sans-serif"/>
    </font>
    <font>
      <sz val="12.0"/>
      <color rgb="FF0D0D0D"/>
      <name val="Arial"/>
    </font>
    <font>
      <u/>
      <color rgb="FF0000FF"/>
      <name val="Roboto"/>
    </font>
    <font>
      <sz val="11.0"/>
      <color theme="1"/>
      <name val="Calibri"/>
    </font>
    <font>
      <sz val="11.0"/>
      <color rgb="FF434343"/>
      <name val="Roboto"/>
    </font>
    <font>
      <sz val="11.0"/>
      <color theme="1"/>
      <name val="Roboto"/>
    </font>
    <font>
      <sz val="11.0"/>
      <color rgb="FF2A3243"/>
      <name val="Roboto"/>
    </font>
    <font>
      <u/>
      <color rgb="FF0000FF"/>
    </font>
    <font>
      <sz val="11.0"/>
      <color rgb="FF000000"/>
      <name val="&quot;Segoe UI Historic&quot;"/>
    </font>
    <font>
      <sz val="11.0"/>
      <color rgb="FF000000"/>
      <name val="Arial"/>
    </font>
    <font>
      <sz val="11.0"/>
      <color rgb="FF000000"/>
      <name val="Inherit"/>
    </font>
    <font>
      <color rgb="FF000000"/>
      <name val="Inherit"/>
    </font>
    <font>
      <sz val="11.0"/>
      <color theme="1"/>
      <name val="&quot;Aptos Narrow&quot;"/>
    </font>
    <font>
      <sz val="11.0"/>
      <color rgb="FF000000"/>
      <name val="&quot;Aptos Narrow&quot;"/>
    </font>
    <font>
      <sz val="9.0"/>
      <color rgb="FF333333"/>
      <name val="Helvetica Neue"/>
    </font>
    <font>
      <sz val="11.0"/>
      <color rgb="FF434343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F8F9FA"/>
        <bgColor rgb="FFF8F9FA"/>
      </patternFill>
    </fill>
    <fill>
      <patternFill patternType="solid">
        <fgColor rgb="FFEE9B27"/>
        <bgColor rgb="FFEE9B27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8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F79646"/>
      </left>
      <top style="hair">
        <color rgb="FFF79646"/>
      </top>
    </border>
    <border>
      <top style="hair">
        <color rgb="FFF79646"/>
      </top>
    </border>
    <border>
      <right style="hair">
        <color rgb="FFF79646"/>
      </right>
      <top style="hair">
        <color rgb="FFF79646"/>
      </top>
    </border>
    <border>
      <left style="hair">
        <color rgb="FFF79646"/>
      </left>
      <bottom style="hair">
        <color rgb="FFF79646"/>
      </bottom>
    </border>
    <border>
      <bottom style="hair">
        <color rgb="FFF79646"/>
      </bottom>
    </border>
    <border>
      <right style="hair">
        <color rgb="FFF79646"/>
      </right>
      <bottom style="hair">
        <color rgb="FFF79646"/>
      </bottom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F79646"/>
      </bottom>
    </border>
    <border>
      <bottom style="thin">
        <color rgb="FFF79646"/>
      </bottom>
    </border>
    <border>
      <top style="thin">
        <color rgb="FFF79646"/>
      </top>
      <bottom style="thin">
        <color rgb="FFF79646"/>
      </bottom>
    </border>
    <border>
      <left style="thin">
        <color rgb="FFF8F9FA"/>
      </left>
      <right style="thin">
        <color rgb="FFB3741D"/>
      </right>
      <top style="thin">
        <color rgb="FFF79646"/>
      </top>
      <bottom style="thin">
        <color rgb="FFF79646"/>
      </bottom>
    </border>
    <border>
      <left style="thin">
        <color rgb="FFF8F9FA"/>
      </left>
      <right style="thin">
        <color rgb="FFF8F9FA"/>
      </right>
      <top style="thin">
        <color rgb="FFF79646"/>
      </top>
      <bottom style="thin">
        <color rgb="FFF79646"/>
      </bottom>
    </border>
    <border>
      <top style="thin">
        <color rgb="FFF79646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79646"/>
      </left>
      <right style="thin">
        <color rgb="FFF79646"/>
      </right>
      <bottom style="thin">
        <color rgb="FFF79646"/>
      </bottom>
    </border>
    <border>
      <left style="thin">
        <color rgb="FFF79646"/>
      </left>
      <right style="thin">
        <color rgb="FFF79646"/>
      </right>
      <top style="thin">
        <color rgb="FFF79646"/>
      </top>
    </border>
    <border>
      <left style="thin">
        <color rgb="FFF79646"/>
      </left>
      <right style="thin">
        <color rgb="FFF79646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F79646"/>
      </left>
    </border>
    <border>
      <right style="thin">
        <color rgb="FFF79646"/>
      </right>
    </border>
    <border>
      <left style="thin">
        <color rgb="FFF79646"/>
      </left>
      <right style="thin">
        <color rgb="FFEE9B27"/>
      </right>
      <top style="thin">
        <color rgb="FFF79646"/>
      </top>
      <bottom style="thin">
        <color rgb="FFEE9B27"/>
      </bottom>
    </border>
    <border>
      <left style="thin">
        <color rgb="FFEE9B27"/>
      </left>
      <right style="thin">
        <color rgb="FFEE9B27"/>
      </right>
      <top style="thin">
        <color rgb="FFF79646"/>
      </top>
      <bottom style="thin">
        <color rgb="FFEE9B27"/>
      </bottom>
    </border>
    <border>
      <left style="thin">
        <color rgb="FFEE9B27"/>
      </left>
      <right style="thin">
        <color rgb="FFF79646"/>
      </right>
      <bottom style="thin">
        <color rgb="FFEE9B27"/>
      </bottom>
    </border>
    <border>
      <right style="thin">
        <color rgb="FFEE9B27"/>
      </right>
      <bottom style="thin">
        <color rgb="FFEE9B27"/>
      </bottom>
    </border>
    <border>
      <left style="thin">
        <color rgb="FFEE9B27"/>
      </left>
      <right style="thin">
        <color rgb="FFEE9B27"/>
      </right>
      <bottom style="thin">
        <color rgb="FFEE9B27"/>
      </bottom>
    </border>
    <border>
      <left style="thin">
        <color rgb="FFEE9B27"/>
      </left>
      <bottom style="thin">
        <color rgb="FFEE9B27"/>
      </bottom>
    </border>
    <border>
      <right style="thin">
        <color rgb="FFEE9B27"/>
      </right>
      <top style="thin">
        <color rgb="FFEE9B27"/>
      </top>
      <bottom style="thin">
        <color rgb="FFEE9B27"/>
      </bottom>
    </border>
    <border>
      <left style="thin">
        <color rgb="FFEE9B27"/>
      </left>
      <right style="thin">
        <color rgb="FFEE9B27"/>
      </right>
      <top style="thin">
        <color rgb="FFEE9B27"/>
      </top>
      <bottom style="thin">
        <color rgb="FFEE9B27"/>
      </bottom>
    </border>
    <border>
      <left style="thin">
        <color rgb="FFEE9B27"/>
      </left>
      <top style="thin">
        <color rgb="FFEE9B27"/>
      </top>
      <bottom style="thin">
        <color rgb="FFEE9B27"/>
      </bottom>
    </border>
    <border>
      <right style="thin">
        <color rgb="FFEE9B27"/>
      </right>
      <top style="thin">
        <color rgb="FFEE9B27"/>
      </top>
    </border>
    <border>
      <left style="thin">
        <color rgb="FFEE9B27"/>
      </left>
      <right style="thin">
        <color rgb="FFEE9B27"/>
      </right>
      <top style="thin">
        <color rgb="FFEE9B27"/>
      </top>
    </border>
    <border>
      <left style="thin">
        <color rgb="FFEE9B27"/>
      </left>
      <top style="thin">
        <color rgb="FFEE9B27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6A71AE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79646"/>
      </left>
      <right style="thin">
        <color rgb="FFF79646"/>
      </right>
      <top style="thin">
        <color rgb="FFFFFFFF"/>
      </top>
      <bottom style="thin">
        <color rgb="FFFFFFFF"/>
      </bottom>
    </border>
    <border>
      <left style="thin">
        <color rgb="FFF79646"/>
      </left>
      <right style="thin">
        <color rgb="FFF79646"/>
      </right>
      <top style="thin">
        <color rgb="FFFFFFFF"/>
      </top>
      <bottom style="thin">
        <color rgb="FFF79646"/>
      </bottom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EAD1DC"/>
      </bottom>
    </border>
    <border>
      <left style="thin">
        <color rgb="FFFFFFFF"/>
      </left>
      <right style="thin">
        <color rgb="FF6A71AE"/>
      </right>
      <top style="thin">
        <color rgb="FFFFFFFF"/>
      </top>
      <bottom style="thin">
        <color rgb="FFFFFFFF"/>
      </bottom>
    </border>
    <border>
      <left style="thin">
        <color rgb="FF6A71AE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79646"/>
      </left>
      <right style="thin">
        <color rgb="FFF79646"/>
      </right>
      <top style="thin">
        <color rgb="FFF8F9FA"/>
      </top>
      <bottom style="thin">
        <color rgb="FFF8F9FA"/>
      </bottom>
    </border>
    <border>
      <left style="thin">
        <color rgb="FFF79646"/>
      </left>
      <right style="thin">
        <color rgb="FFF79646"/>
      </right>
      <top style="thin">
        <color rgb="FFF8F9FA"/>
      </top>
      <bottom style="thin">
        <color rgb="FFF79646"/>
      </bottom>
    </border>
    <border>
      <left style="thin">
        <color rgb="FFF8F9FA"/>
      </left>
      <right style="thin">
        <color rgb="FF6A71AE"/>
      </right>
      <top style="thin">
        <color rgb="FFF8F9FA"/>
      </top>
      <bottom style="thin">
        <color rgb="FFF8F9FA"/>
      </bottom>
    </border>
    <border>
      <right style="thin">
        <color rgb="FFF79646"/>
      </right>
      <bottom style="thin">
        <color rgb="FFF79646"/>
      </bottom>
    </border>
    <border>
      <left style="thin">
        <color rgb="FFF79646"/>
      </left>
      <bottom style="thin">
        <color rgb="FFF79646"/>
      </bottom>
    </border>
    <border>
      <right style="thin">
        <color rgb="FFF79646"/>
      </right>
      <top style="thin">
        <color rgb="FFF79646"/>
      </top>
      <bottom style="thin">
        <color rgb="FFF79646"/>
      </bottom>
    </border>
    <border>
      <left style="thin">
        <color rgb="FFF79646"/>
      </left>
      <top style="thin">
        <color rgb="FFF79646"/>
      </top>
      <bottom style="thin">
        <color rgb="FFF79646"/>
      </bottom>
    </border>
    <border>
      <right style="thin">
        <color rgb="FFF79646"/>
      </right>
      <top style="thin">
        <color rgb="FFF79646"/>
      </top>
    </border>
    <border>
      <left style="thin">
        <color rgb="FFF79646"/>
      </left>
      <top style="thin">
        <color rgb="FFF79646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EE9B27"/>
      </left>
      <right style="thin">
        <color rgb="FFEE9B27"/>
      </right>
    </border>
    <border>
      <left style="thin">
        <color rgb="FFAD8B37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E9B27"/>
      </left>
      <right style="thin">
        <color rgb="FFEE9B27"/>
      </right>
      <top style="thin">
        <color rgb="FFFFFFFF"/>
      </top>
      <bottom style="thin">
        <color rgb="FFEE9B27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AD8B37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EE9B27"/>
      </left>
      <right style="thin">
        <color rgb="FFEE9B27"/>
      </right>
      <top style="thin">
        <color rgb="FFF8F9FA"/>
      </top>
      <bottom style="thin">
        <color rgb="FFEE9B27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ck">
        <color rgb="FFE6B949"/>
      </left>
      <right style="thick">
        <color rgb="FFE6B949"/>
      </right>
      <top style="thick">
        <color rgb="FFE6B949"/>
      </top>
      <bottom style="thick">
        <color rgb="FFE6B949"/>
      </bottom>
    </border>
    <border>
      <left style="thick">
        <color rgb="FFE6B949"/>
      </left>
      <top style="thick">
        <color rgb="FFE6B949"/>
      </top>
      <bottom style="thick">
        <color rgb="FFE6B949"/>
      </bottom>
    </border>
    <border>
      <left style="thin">
        <color rgb="FFEE9B27"/>
      </left>
      <right style="thin">
        <color rgb="FFFFFFFF"/>
      </right>
      <top style="thin">
        <color rgb="FFFFFFFF"/>
      </top>
      <bottom style="thin">
        <color rgb="FFEE9B27"/>
      </bottom>
    </border>
    <border>
      <left style="thin">
        <color rgb="FF474444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E9B27"/>
      </left>
      <right style="thin">
        <color rgb="FFEE9B27"/>
      </right>
      <top style="thin">
        <color rgb="FFFFFFFF"/>
      </top>
      <bottom style="thin">
        <color rgb="FFFFFFFF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FFFFFF"/>
      </left>
      <right style="thin">
        <color rgb="FF474444"/>
      </right>
      <top style="thin">
        <color rgb="FFFFFFFF"/>
      </top>
      <bottom style="thin">
        <color rgb="FFFFFFFF"/>
      </bottom>
    </border>
    <border>
      <left style="thin">
        <color rgb="FF474444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EE9B27"/>
      </left>
      <right style="thin">
        <color rgb="FFEE9B27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74444"/>
      </right>
      <top style="thin">
        <color rgb="FFF8F9FA"/>
      </top>
      <bottom style="thin">
        <color rgb="FFF8F9FA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4" numFmtId="165" xfId="0" applyAlignment="1" applyFont="1" applyNumberFormat="1">
      <alignment horizontal="center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8" fillId="0" fontId="1" numFmtId="166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7" numFmtId="0" xfId="0" applyAlignment="1" applyBorder="1" applyFont="1">
      <alignment readingOrder="0" shrinkToFit="0" vertical="center" wrapText="0"/>
    </xf>
    <xf borderId="10" fillId="0" fontId="7" numFmtId="0" xfId="0" applyAlignment="1" applyBorder="1" applyFont="1">
      <alignment readingOrder="0" shrinkToFit="0" vertical="center" wrapText="0"/>
    </xf>
    <xf borderId="8" fillId="0" fontId="1" numFmtId="166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8" fillId="0" fontId="8" numFmtId="4" xfId="0" applyAlignment="1" applyBorder="1" applyFont="1" applyNumberFormat="1">
      <alignment readingOrder="0" shrinkToFit="0" vertical="center" wrapText="0"/>
    </xf>
    <xf borderId="8" fillId="0" fontId="9" numFmtId="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0" numFmtId="0" xfId="0" applyAlignment="1" applyBorder="1" applyFont="1">
      <alignment readingOrder="0" shrinkToFit="0" vertical="center" wrapText="0"/>
    </xf>
    <xf borderId="8" fillId="0" fontId="1" numFmtId="4" xfId="0" applyAlignment="1" applyBorder="1" applyFont="1" applyNumberFormat="1">
      <alignment shrinkToFit="0" vertical="center" wrapText="0"/>
    </xf>
    <xf borderId="8" fillId="3" fontId="1" numFmtId="4" xfId="0" applyAlignment="1" applyBorder="1" applyFill="1" applyFont="1" applyNumberFormat="1">
      <alignment readingOrder="0" shrinkToFit="0" vertical="center" wrapText="0"/>
    </xf>
    <xf borderId="8" fillId="4" fontId="1" numFmtId="166" xfId="0" applyAlignment="1" applyBorder="1" applyFill="1" applyFont="1" applyNumberFormat="1">
      <alignment readingOrder="0" shrinkToFit="0" vertical="center" wrapText="0"/>
    </xf>
    <xf borderId="8" fillId="4" fontId="1" numFmtId="0" xfId="0" applyAlignment="1" applyBorder="1" applyFont="1">
      <alignment readingOrder="0" shrinkToFit="0" vertical="center" wrapText="0"/>
    </xf>
    <xf borderId="8" fillId="4" fontId="1" numFmtId="4" xfId="0" applyAlignment="1" applyBorder="1" applyFont="1" applyNumberFormat="1">
      <alignment readingOrder="0" shrinkToFit="0" vertical="center" wrapText="0"/>
    </xf>
    <xf borderId="8" fillId="4" fontId="1" numFmtId="0" xfId="0" applyAlignment="1" applyBorder="1" applyFont="1">
      <alignment shrinkToFit="0" vertical="center" wrapText="0"/>
    </xf>
    <xf borderId="10" fillId="4" fontId="1" numFmtId="0" xfId="0" applyAlignment="1" applyBorder="1" applyFont="1">
      <alignment readingOrder="0" shrinkToFit="0" vertical="center" wrapText="0"/>
    </xf>
    <xf borderId="10" fillId="4" fontId="1" numFmtId="0" xfId="0" applyAlignment="1" applyBorder="1" applyFont="1">
      <alignment readingOrder="0" shrinkToFit="0" vertical="center" wrapText="0"/>
    </xf>
    <xf borderId="8" fillId="5" fontId="1" numFmtId="166" xfId="0" applyAlignment="1" applyBorder="1" applyFill="1" applyFont="1" applyNumberFormat="1">
      <alignment readingOrder="0" shrinkToFit="0" vertical="center" wrapText="0"/>
    </xf>
    <xf borderId="8" fillId="5" fontId="1" numFmtId="0" xfId="0" applyAlignment="1" applyBorder="1" applyFont="1">
      <alignment readingOrder="0" shrinkToFit="0" vertical="center" wrapText="0"/>
    </xf>
    <xf borderId="8" fillId="5" fontId="1" numFmtId="4" xfId="0" applyAlignment="1" applyBorder="1" applyFont="1" applyNumberFormat="1">
      <alignment readingOrder="0" shrinkToFit="0" vertical="center" wrapText="0"/>
    </xf>
    <xf borderId="8" fillId="5" fontId="1" numFmtId="0" xfId="0" applyAlignment="1" applyBorder="1" applyFont="1">
      <alignment readingOrder="0" shrinkToFit="0" vertical="center" wrapText="0"/>
    </xf>
    <xf borderId="10" fillId="5" fontId="1" numFmtId="0" xfId="0" applyAlignment="1" applyBorder="1" applyFont="1">
      <alignment readingOrder="0" shrinkToFit="0" vertical="center" wrapText="0"/>
    </xf>
    <xf borderId="10" fillId="5" fontId="1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vertical="bottom"/>
    </xf>
    <xf borderId="8" fillId="6" fontId="12" numFmtId="166" xfId="0" applyAlignment="1" applyBorder="1" applyFill="1" applyFont="1" applyNumberFormat="1">
      <alignment horizontal="right" shrinkToFit="0" vertical="center" wrapText="0"/>
    </xf>
    <xf borderId="8" fillId="6" fontId="13" numFmtId="0" xfId="0" applyAlignment="1" applyBorder="1" applyFont="1">
      <alignment readingOrder="0" shrinkToFit="0" vertical="center" wrapText="0"/>
    </xf>
    <xf borderId="8" fillId="6" fontId="12" numFmtId="4" xfId="0" applyAlignment="1" applyBorder="1" applyFont="1" applyNumberFormat="1">
      <alignment horizontal="right" shrinkToFit="0" vertical="center" wrapText="0"/>
    </xf>
    <xf borderId="8" fillId="6" fontId="11" numFmtId="0" xfId="0" applyAlignment="1" applyBorder="1" applyFont="1">
      <alignment readingOrder="0" shrinkToFit="0" vertical="center" wrapText="0"/>
    </xf>
    <xf borderId="8" fillId="6" fontId="12" numFmtId="0" xfId="0" applyAlignment="1" applyBorder="1" applyFont="1">
      <alignment readingOrder="0" shrinkToFit="0" vertical="center" wrapText="0"/>
    </xf>
    <xf borderId="10" fillId="6" fontId="11" numFmtId="0" xfId="0" applyAlignment="1" applyBorder="1" applyFont="1">
      <alignment shrinkToFit="0" vertical="center" wrapText="0"/>
    </xf>
    <xf borderId="11" fillId="6" fontId="11" numFmtId="0" xfId="0" applyAlignment="1" applyBorder="1" applyFont="1">
      <alignment shrinkToFit="0" vertical="center" wrapText="0"/>
    </xf>
    <xf borderId="8" fillId="6" fontId="13" numFmtId="0" xfId="0" applyAlignment="1" applyBorder="1" applyFont="1">
      <alignment shrinkToFit="0" vertical="center" wrapText="0"/>
    </xf>
    <xf borderId="8" fillId="6" fontId="14" numFmtId="0" xfId="0" applyAlignment="1" applyBorder="1" applyFont="1">
      <alignment shrinkToFit="0" vertical="center" wrapText="0"/>
    </xf>
    <xf borderId="8" fillId="6" fontId="12" numFmtId="0" xfId="0" applyAlignment="1" applyBorder="1" applyFont="1">
      <alignment shrinkToFit="0" vertical="center" wrapText="0"/>
    </xf>
    <xf borderId="12" fillId="6" fontId="11" numFmtId="0" xfId="0" applyAlignment="1" applyBorder="1" applyFont="1">
      <alignment shrinkToFit="0" vertical="center" wrapText="0"/>
    </xf>
    <xf borderId="8" fillId="6" fontId="12" numFmtId="166" xfId="0" applyAlignment="1" applyBorder="1" applyFont="1" applyNumberFormat="1">
      <alignment horizontal="right" readingOrder="0" shrinkToFit="0" vertical="center" wrapText="0"/>
    </xf>
    <xf borderId="8" fillId="6" fontId="12" numFmtId="4" xfId="0" applyAlignment="1" applyBorder="1" applyFont="1" applyNumberFormat="1">
      <alignment horizontal="right" readingOrder="0" shrinkToFit="0" vertical="center" wrapText="0"/>
    </xf>
    <xf borderId="8" fillId="6" fontId="14" numFmtId="0" xfId="0" applyAlignment="1" applyBorder="1" applyFont="1">
      <alignment readingOrder="0" shrinkToFit="0" vertical="center" wrapText="0"/>
    </xf>
    <xf borderId="10" fillId="6" fontId="11" numFmtId="0" xfId="0" applyAlignment="1" applyBorder="1" applyFont="1">
      <alignment shrinkToFit="0" vertical="center" wrapText="0"/>
    </xf>
    <xf borderId="8" fillId="7" fontId="1" numFmtId="166" xfId="0" applyAlignment="1" applyBorder="1" applyFill="1" applyFont="1" applyNumberFormat="1">
      <alignment readingOrder="0" shrinkToFit="0" vertical="center" wrapText="0"/>
    </xf>
    <xf borderId="8" fillId="7" fontId="1" numFmtId="0" xfId="0" applyAlignment="1" applyBorder="1" applyFont="1">
      <alignment readingOrder="0" shrinkToFit="0" vertical="center" wrapText="0"/>
    </xf>
    <xf borderId="8" fillId="7" fontId="1" numFmtId="4" xfId="0" applyAlignment="1" applyBorder="1" applyFont="1" applyNumberFormat="1">
      <alignment readingOrder="0" shrinkToFit="0" vertical="center" wrapText="0"/>
    </xf>
    <xf borderId="8" fillId="7" fontId="1" numFmtId="0" xfId="0" applyAlignment="1" applyBorder="1" applyFont="1">
      <alignment shrinkToFit="0" vertical="center" wrapText="0"/>
    </xf>
    <xf borderId="10" fillId="7" fontId="1" numFmtId="0" xfId="0" applyAlignment="1" applyBorder="1" applyFont="1">
      <alignment shrinkToFit="0" vertical="center" wrapText="0"/>
    </xf>
    <xf borderId="10" fillId="7" fontId="1" numFmtId="0" xfId="0" applyAlignment="1" applyBorder="1" applyFont="1">
      <alignment readingOrder="0" shrinkToFit="0" vertical="center" wrapText="0"/>
    </xf>
    <xf borderId="8" fillId="5" fontId="1" numFmtId="0" xfId="0" applyAlignment="1" applyBorder="1" applyFont="1">
      <alignment shrinkToFit="0" vertical="center" wrapText="0"/>
    </xf>
    <xf borderId="10" fillId="5" fontId="1" numFmtId="0" xfId="0" applyAlignment="1" applyBorder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8" fillId="7" fontId="1" numFmtId="0" xfId="0" applyAlignment="1" applyBorder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4" fillId="0" fontId="1" numFmtId="166" xfId="0" applyAlignment="1" applyBorder="1" applyFont="1" applyNumberForma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shrinkToFit="0" vertical="center" wrapText="0"/>
    </xf>
    <xf borderId="17" fillId="0" fontId="1" numFmtId="166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7" fillId="0" fontId="1" numFmtId="166" xfId="0" applyAlignment="1" applyBorder="1" applyFont="1" applyNumberFormat="1">
      <alignment shrinkToFit="0" vertical="center" wrapText="0"/>
    </xf>
    <xf borderId="19" fillId="0" fontId="1" numFmtId="166" xfId="0" applyAlignment="1" applyBorder="1" applyFont="1" applyNumberForma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0" fillId="0" fontId="1" numFmtId="49" xfId="0" applyAlignment="1" applyFont="1" applyNumberFormat="1">
      <alignment readingOrder="0"/>
    </xf>
    <xf borderId="0" fillId="0" fontId="1" numFmtId="166" xfId="0" applyFont="1" applyNumberFormat="1"/>
    <xf borderId="0" fillId="0" fontId="1" numFmtId="4" xfId="0" applyFont="1" applyNumberFormat="1"/>
    <xf borderId="0" fillId="0" fontId="15" numFmtId="0" xfId="0" applyFont="1"/>
    <xf borderId="0" fillId="0" fontId="1" numFmtId="167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8" fontId="16" numFmtId="0" xfId="0" applyAlignment="1" applyFill="1" applyFont="1">
      <alignment readingOrder="0" shrinkToFit="0" vertical="center" wrapText="0"/>
    </xf>
    <xf borderId="0" fillId="8" fontId="1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166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8" fontId="17" numFmtId="0" xfId="0" applyAlignment="1" applyFont="1">
      <alignment readingOrder="0" shrinkToFit="0" vertical="center" wrapText="0"/>
    </xf>
    <xf borderId="0" fillId="9" fontId="1" numFmtId="166" xfId="0" applyAlignment="1" applyFill="1" applyFont="1" applyNumberForma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6" numFmtId="0" xfId="0" applyAlignment="1" applyFont="1">
      <alignment readingOrder="0" shrinkToFit="0" vertical="center" wrapText="0"/>
    </xf>
    <xf borderId="0" fillId="9" fontId="18" numFmtId="0" xfId="0" applyAlignment="1" applyFont="1">
      <alignment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shrinkToFit="0" vertical="center" wrapText="0"/>
    </xf>
    <xf borderId="0" fillId="2" fontId="1" numFmtId="166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0" fillId="2" fontId="18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8" fontId="16" numFmtId="0" xfId="0" applyAlignment="1" applyFont="1">
      <alignment readingOrder="0" shrinkToFit="0" vertical="center" wrapText="0"/>
    </xf>
    <xf borderId="0" fillId="8" fontId="18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8" fontId="19" numFmtId="0" xfId="0" applyAlignment="1" applyFont="1">
      <alignment readingOrder="0" shrinkToFit="0" vertical="center" wrapText="0"/>
    </xf>
    <xf borderId="0" fillId="8" fontId="18" numFmtId="0" xfId="0" applyAlignment="1" applyFont="1">
      <alignment readingOrder="0" shrinkToFit="0" vertical="center" wrapText="0"/>
    </xf>
    <xf borderId="0" fillId="8" fontId="17" numFmtId="0" xfId="0" applyAlignment="1" applyFon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4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26" fillId="0" fontId="1" numFmtId="0" xfId="0" applyAlignment="1" applyBorder="1" applyFont="1">
      <alignment readingOrder="0" shrinkToFit="0" vertical="center" wrapText="0"/>
    </xf>
    <xf borderId="27" fillId="0" fontId="1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20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10" xfId="0" applyAlignment="1" applyFont="1" applyNumberForma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10" fontId="1" numFmtId="49" xfId="0" applyAlignment="1" applyFill="1" applyFont="1" applyNumberFormat="1">
      <alignment horizontal="left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29" fillId="10" fontId="1" numFmtId="0" xfId="0" applyAlignment="1" applyBorder="1" applyFont="1">
      <alignment shrinkToFit="0" vertical="center" wrapText="0"/>
    </xf>
    <xf borderId="29" fillId="0" fontId="1" numFmtId="0" xfId="0" applyAlignment="1" applyBorder="1" applyFont="1">
      <alignment shrinkToFit="0" vertical="center" wrapText="0"/>
    </xf>
    <xf borderId="29" fillId="0" fontId="1" numFmtId="0" xfId="0" applyAlignment="1" applyBorder="1" applyFont="1">
      <alignment readingOrder="0" shrinkToFit="0" vertical="center" wrapText="0"/>
    </xf>
    <xf borderId="29" fillId="0" fontId="1" numFmtId="0" xfId="0" applyAlignment="1" applyBorder="1" applyFont="1">
      <alignment readingOrder="0" shrinkToFit="0" vertical="center" wrapText="0"/>
    </xf>
    <xf borderId="8" fillId="1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30" fillId="0" fontId="1" numFmtId="0" xfId="0" applyAlignment="1" applyBorder="1" applyFont="1">
      <alignment horizontal="left" readingOrder="0" shrinkToFit="0" vertical="center" wrapText="0"/>
    </xf>
    <xf borderId="30" fillId="0" fontId="1" numFmtId="0" xfId="0" applyAlignment="1" applyBorder="1" applyFont="1">
      <alignment horizontal="right" readingOrder="0"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30" fillId="0" fontId="22" numFmtId="0" xfId="0" applyAlignment="1" applyBorder="1" applyFont="1">
      <alignment readingOrder="0" shrinkToFit="0" vertical="center" wrapText="0"/>
    </xf>
    <xf borderId="8" fillId="10" fontId="1" numFmtId="0" xfId="0" applyAlignment="1" applyBorder="1" applyFont="1">
      <alignment readingOrder="0" shrinkToFit="0" vertical="center" wrapText="0"/>
    </xf>
    <xf borderId="30" fillId="0" fontId="1" numFmtId="0" xfId="0" applyAlignment="1" applyBorder="1" applyFont="1">
      <alignment shrinkToFit="0" vertical="center" wrapText="0"/>
    </xf>
    <xf borderId="30" fillId="0" fontId="1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30" fillId="10" fontId="1" numFmtId="0" xfId="0" applyAlignment="1" applyBorder="1" applyFont="1">
      <alignment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shrinkToFit="0" vertical="center" wrapText="0"/>
    </xf>
    <xf borderId="32" fillId="10" fontId="1" numFmtId="0" xfId="0" applyAlignment="1" applyBorder="1" applyFont="1">
      <alignment shrinkToFit="0" vertical="center" wrapText="0"/>
    </xf>
    <xf borderId="32" fillId="0" fontId="1" numFmtId="0" xfId="0" applyAlignment="1" applyBorder="1" applyFont="1">
      <alignment readingOrder="0" shrinkToFit="0" vertical="center" wrapText="0"/>
    </xf>
    <xf borderId="2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horizontal="right"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1" fillId="0" fontId="1" numFmtId="0" xfId="0" applyAlignment="1" applyBorder="1" applyFont="1">
      <alignment readingOrder="0" shrinkToFit="0" vertical="center" wrapText="0"/>
    </xf>
    <xf borderId="33" fillId="0" fontId="1" numFmtId="0" xfId="0" applyAlignment="1" applyBorder="1" applyFont="1">
      <alignment readingOrder="0" shrinkToFit="0" vertical="center" wrapText="0"/>
    </xf>
    <xf borderId="34" fillId="0" fontId="1" numFmtId="0" xfId="0" applyAlignment="1" applyBorder="1" applyFont="1">
      <alignment readingOrder="0" shrinkToFit="0" vertical="center" wrapText="0"/>
    </xf>
    <xf borderId="35" fillId="0" fontId="1" numFmtId="0" xfId="0" applyAlignment="1" applyBorder="1" applyFont="1">
      <alignment readingOrder="0" shrinkToFit="0" vertical="center" wrapText="0"/>
    </xf>
    <xf borderId="36" fillId="0" fontId="1" numFmtId="0" xfId="0" applyAlignment="1" applyBorder="1" applyFont="1">
      <alignment readingOrder="0" shrinkToFit="0" vertical="center" wrapText="0"/>
    </xf>
    <xf borderId="36" fillId="0" fontId="1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readingOrder="0" shrinkToFit="0" vertical="center" wrapText="0"/>
    </xf>
    <xf borderId="38" fillId="0" fontId="1" numFmtId="0" xfId="0" applyAlignment="1" applyBorder="1" applyFont="1">
      <alignment readingOrder="0" shrinkToFit="0" vertical="center" wrapText="0"/>
    </xf>
    <xf borderId="39" fillId="0" fontId="1" numFmtId="0" xfId="0" applyAlignment="1" applyBorder="1" applyFont="1">
      <alignment readingOrder="0" shrinkToFit="0" vertical="center" wrapText="0"/>
    </xf>
    <xf borderId="39" fillId="0" fontId="1" numFmtId="0" xfId="0" applyAlignment="1" applyBorder="1" applyFont="1">
      <alignment shrinkToFit="0" vertical="center" wrapText="0"/>
    </xf>
    <xf borderId="40" fillId="0" fontId="1" numFmtId="0" xfId="0" applyAlignment="1" applyBorder="1" applyFont="1">
      <alignment readingOrder="0" shrinkToFit="0" vertical="center" wrapText="0"/>
    </xf>
    <xf borderId="41" fillId="0" fontId="1" numFmtId="0" xfId="0" applyAlignment="1" applyBorder="1" applyFont="1">
      <alignment readingOrder="0" shrinkToFit="0" vertical="center" wrapText="0"/>
    </xf>
    <xf borderId="42" fillId="0" fontId="1" numFmtId="0" xfId="0" applyAlignment="1" applyBorder="1" applyFont="1">
      <alignment readingOrder="0" shrinkToFit="0" vertical="center" wrapText="0"/>
    </xf>
    <xf borderId="43" fillId="0" fontId="1" numFmtId="0" xfId="0" applyAlignment="1" applyBorder="1" applyFont="1">
      <alignment readingOrder="0" shrinkToFit="0" vertical="center" wrapText="0"/>
    </xf>
    <xf borderId="44" fillId="0" fontId="1" numFmtId="0" xfId="0" applyAlignment="1" applyBorder="1" applyFont="1">
      <alignment readingOrder="0" shrinkToFit="0" vertical="center" wrapText="0"/>
    </xf>
    <xf borderId="45" fillId="0" fontId="1" numFmtId="0" xfId="0" applyAlignment="1" applyBorder="1" applyFont="1">
      <alignment readingOrder="0" shrinkToFit="0" vertical="center" wrapText="0"/>
    </xf>
    <xf borderId="46" fillId="0" fontId="1" numFmtId="0" xfId="0" applyAlignment="1" applyBorder="1" applyFont="1">
      <alignment readingOrder="0" shrinkToFit="0" vertical="center" wrapText="0"/>
    </xf>
    <xf borderId="47" fillId="0" fontId="1" numFmtId="0" xfId="0" applyAlignment="1" applyBorder="1" applyFont="1">
      <alignment readingOrder="0" shrinkToFit="0" vertical="center" wrapText="0"/>
    </xf>
    <xf borderId="47" fillId="1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48" fillId="2" fontId="12" numFmtId="0" xfId="0" applyAlignment="1" applyBorder="1" applyFont="1">
      <alignment shrinkToFit="0" vertical="center" wrapText="0"/>
    </xf>
    <xf borderId="24" fillId="2" fontId="12" numFmtId="0" xfId="0" applyAlignment="1" applyBorder="1" applyFont="1">
      <alignment horizontal="right" readingOrder="0" shrinkToFit="0" vertical="center" wrapText="0"/>
    </xf>
    <xf borderId="24" fillId="2" fontId="12" numFmtId="0" xfId="0" applyAlignment="1" applyBorder="1" applyFont="1">
      <alignment horizontal="right" shrinkToFit="0" vertical="center" wrapText="0"/>
    </xf>
    <xf borderId="49" fillId="2" fontId="12" numFmtId="0" xfId="0" applyAlignment="1" applyBorder="1" applyFont="1">
      <alignment horizontal="right" shrinkToFit="0" vertical="center" wrapText="0"/>
    </xf>
    <xf borderId="24" fillId="2" fontId="12" numFmtId="0" xfId="0" applyAlignment="1" applyBorder="1" applyFont="1">
      <alignment shrinkToFit="0" vertical="center" wrapText="0"/>
    </xf>
    <xf borderId="50" fillId="2" fontId="12" numFmtId="0" xfId="0" applyAlignment="1" applyBorder="1" applyFont="1">
      <alignment horizontal="right" shrinkToFit="0" vertical="center" wrapText="0"/>
    </xf>
    <xf borderId="8" fillId="2" fontId="12" numFmtId="0" xfId="0" applyAlignment="1" applyBorder="1" applyFont="1">
      <alignment horizontal="right" shrinkToFit="0" vertical="center" wrapText="0"/>
    </xf>
    <xf borderId="51" fillId="10" fontId="12" numFmtId="0" xfId="0" applyAlignment="1" applyBorder="1" applyFont="1">
      <alignment horizontal="right" shrinkToFit="0" vertical="center" wrapText="0"/>
    </xf>
    <xf borderId="24" fillId="2" fontId="12" numFmtId="0" xfId="0" applyAlignment="1" applyBorder="1" applyFont="1">
      <alignment horizontal="right" shrinkToFit="0" vertical="center" wrapText="0"/>
    </xf>
    <xf borderId="52" fillId="2" fontId="11" numFmtId="0" xfId="0" applyAlignment="1" applyBorder="1" applyFont="1">
      <alignment shrinkToFit="0" vertical="center" wrapText="0"/>
    </xf>
    <xf borderId="53" fillId="6" fontId="12" numFmtId="0" xfId="0" applyAlignment="1" applyBorder="1" applyFont="1">
      <alignment shrinkToFit="0" vertical="center" wrapText="0"/>
    </xf>
    <xf borderId="54" fillId="6" fontId="12" numFmtId="0" xfId="0" applyAlignment="1" applyBorder="1" applyFont="1">
      <alignment horizontal="right" readingOrder="0" shrinkToFit="0" vertical="center" wrapText="0"/>
    </xf>
    <xf borderId="54" fillId="6" fontId="12" numFmtId="0" xfId="0" applyAlignment="1" applyBorder="1" applyFont="1">
      <alignment horizontal="right" shrinkToFit="0" vertical="center" wrapText="0"/>
    </xf>
    <xf borderId="55" fillId="6" fontId="12" numFmtId="0" xfId="0" applyAlignment="1" applyBorder="1" applyFont="1">
      <alignment horizontal="right" shrinkToFit="0" vertical="center" wrapText="0"/>
    </xf>
    <xf borderId="54" fillId="6" fontId="12" numFmtId="0" xfId="0" applyAlignment="1" applyBorder="1" applyFont="1">
      <alignment horizontal="right" shrinkToFit="0" vertical="center" wrapText="0"/>
    </xf>
    <xf borderId="54" fillId="6" fontId="12" numFmtId="0" xfId="0" applyAlignment="1" applyBorder="1" applyFont="1">
      <alignment shrinkToFit="0" vertical="center" wrapText="0"/>
    </xf>
    <xf borderId="56" fillId="6" fontId="12" numFmtId="0" xfId="0" applyAlignment="1" applyBorder="1" applyFont="1">
      <alignment horizontal="right" shrinkToFit="0" vertical="center" wrapText="0"/>
    </xf>
    <xf borderId="8" fillId="6" fontId="12" numFmtId="0" xfId="0" applyAlignment="1" applyBorder="1" applyFont="1">
      <alignment horizontal="right" shrinkToFit="0" vertical="center" wrapText="0"/>
    </xf>
    <xf borderId="57" fillId="6" fontId="11" numFmtId="0" xfId="0" applyAlignment="1" applyBorder="1" applyFont="1">
      <alignment shrinkToFit="0" vertical="center" wrapText="0"/>
    </xf>
    <xf borderId="48" fillId="2" fontId="12" numFmtId="0" xfId="0" applyAlignment="1" applyBorder="1" applyFon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12" numFmtId="0" xfId="0" applyAlignment="1" applyFont="1">
      <alignment horizontal="right" readingOrder="0" shrinkToFit="0" vertical="center" wrapText="0"/>
    </xf>
    <xf borderId="0" fillId="2" fontId="12" numFmtId="0" xfId="0" applyAlignment="1" applyFont="1">
      <alignment horizontal="right" shrinkToFit="0" vertical="center" wrapText="0"/>
    </xf>
    <xf borderId="0" fillId="2" fontId="12" numFmtId="0" xfId="0" applyAlignment="1" applyFont="1">
      <alignment shrinkToFit="0" vertical="center" wrapText="0"/>
    </xf>
    <xf borderId="0" fillId="2" fontId="12" numFmtId="0" xfId="0" applyAlignment="1" applyFont="1">
      <alignment horizontal="right" shrinkToFit="0" vertical="center" wrapText="0"/>
    </xf>
    <xf borderId="0" fillId="10" fontId="12" numFmtId="0" xfId="0" applyAlignment="1" applyFont="1">
      <alignment horizontal="right" shrinkToFit="0" vertical="center" wrapText="0"/>
    </xf>
    <xf borderId="0" fillId="2" fontId="11" numFmtId="0" xfId="0" applyAlignment="1" applyFont="1">
      <alignment shrinkToFit="0" vertical="center" wrapText="0"/>
    </xf>
    <xf borderId="0" fillId="10" fontId="1" numFmtId="0" xfId="0" applyAlignment="1" applyFont="1">
      <alignment shrinkToFit="0" vertical="center" wrapText="0"/>
    </xf>
    <xf borderId="0" fillId="10" fontId="1" numFmtId="0" xfId="0" applyAlignment="1" applyFont="1">
      <alignment shrinkToFit="0" vertical="center" wrapText="0"/>
    </xf>
    <xf borderId="0" fillId="10" fontId="1" numFmtId="0" xfId="0" applyFont="1"/>
    <xf borderId="0" fillId="11" fontId="1" numFmtId="49" xfId="0" applyAlignment="1" applyFill="1" applyFont="1" applyNumberFormat="1">
      <alignment horizontal="left" readingOrder="0" shrinkToFit="0" vertical="center" wrapText="0"/>
    </xf>
    <xf borderId="58" fillId="0" fontId="1" numFmtId="0" xfId="0" applyAlignment="1" applyBorder="1" applyFont="1">
      <alignment readingOrder="0" shrinkToFit="0" vertical="center" wrapText="0"/>
    </xf>
    <xf borderId="29" fillId="11" fontId="1" numFmtId="0" xfId="0" applyAlignment="1" applyBorder="1" applyFont="1">
      <alignment shrinkToFit="0" vertical="center" wrapText="0"/>
    </xf>
    <xf borderId="59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60" fillId="0" fontId="1" numFmtId="0" xfId="0" applyAlignment="1" applyBorder="1" applyFont="1">
      <alignment readingOrder="0" shrinkToFit="0" vertical="center" wrapText="0"/>
    </xf>
    <xf borderId="31" fillId="11" fontId="1" numFmtId="0" xfId="0" applyAlignment="1" applyBorder="1" applyFont="1">
      <alignment shrinkToFit="0" vertical="center" wrapText="0"/>
    </xf>
    <xf borderId="31" fillId="0" fontId="1" numFmtId="0" xfId="0" applyAlignment="1" applyBorder="1" applyFont="1">
      <alignment shrinkToFit="0" vertical="center" wrapText="0"/>
    </xf>
    <xf borderId="61" fillId="0" fontId="1" numFmtId="0" xfId="0" applyAlignment="1" applyBorder="1" applyFont="1">
      <alignment shrinkToFit="0" vertical="center" wrapText="0"/>
    </xf>
    <xf borderId="62" fillId="0" fontId="1" numFmtId="0" xfId="0" applyAlignment="1" applyBorder="1" applyFont="1">
      <alignment readingOrder="0" shrinkToFit="0" vertical="center" wrapText="0"/>
    </xf>
    <xf borderId="63" fillId="0" fontId="1" numFmtId="0" xfId="0" applyAlignment="1" applyBorder="1" applyFont="1">
      <alignment readingOrder="0" shrinkToFit="0" vertical="center" wrapText="0"/>
    </xf>
    <xf borderId="8" fillId="11" fontId="1" numFmtId="0" xfId="0" applyAlignment="1" applyBorder="1" applyFont="1">
      <alignment shrinkToFit="0" vertical="center" wrapText="0"/>
    </xf>
    <xf borderId="62" fillId="0" fontId="1" numFmtId="0" xfId="0" applyAlignment="1" applyBorder="1" applyFont="1">
      <alignment shrinkToFit="0" vertical="center" wrapText="0"/>
    </xf>
    <xf borderId="63" fillId="0" fontId="1" numFmtId="0" xfId="0" applyAlignment="1" applyBorder="1" applyFont="1">
      <alignment shrinkToFit="0" vertical="center" wrapText="0"/>
    </xf>
    <xf borderId="32" fillId="11" fontId="1" numFmtId="0" xfId="0" applyAlignment="1" applyBorder="1" applyFont="1">
      <alignment shrinkToFit="0" vertical="center" wrapText="0"/>
    </xf>
    <xf borderId="64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33" fillId="0" fontId="1" numFmtId="0" xfId="0" applyAlignment="1" applyBorder="1" applyFont="1">
      <alignment shrinkToFit="0" vertical="center" wrapText="0"/>
    </xf>
    <xf borderId="30" fillId="11" fontId="1" numFmtId="0" xfId="0" applyAlignment="1" applyBorder="1" applyFont="1">
      <alignment shrinkToFit="0" vertical="center" wrapText="0"/>
    </xf>
    <xf borderId="62" fillId="0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readingOrder="0" shrinkToFit="0" vertical="center" wrapText="0"/>
    </xf>
    <xf borderId="32" fillId="0" fontId="1" numFmtId="0" xfId="0" applyAlignment="1" applyBorder="1" applyFont="1">
      <alignment shrinkToFit="0" vertical="center" wrapText="0"/>
    </xf>
    <xf borderId="64" fillId="0" fontId="1" numFmtId="0" xfId="0" applyAlignment="1" applyBorder="1" applyFont="1">
      <alignment shrinkToFit="0" vertical="center" wrapText="0"/>
    </xf>
    <xf borderId="38" fillId="0" fontId="1" numFmtId="0" xfId="0" applyAlignment="1" applyBorder="1" applyFont="1">
      <alignment readingOrder="0" shrinkToFit="0" vertical="center" wrapText="0"/>
    </xf>
    <xf borderId="39" fillId="0" fontId="1" numFmtId="0" xfId="0" applyAlignment="1" applyBorder="1" applyFont="1">
      <alignment readingOrder="0" shrinkToFit="0" vertical="center" wrapText="0"/>
    </xf>
    <xf borderId="39" fillId="0" fontId="1" numFmtId="0" xfId="0" applyAlignment="1" applyBorder="1" applyFont="1">
      <alignment shrinkToFit="0" vertical="center" wrapText="0"/>
    </xf>
    <xf borderId="39" fillId="11" fontId="1" numFmtId="0" xfId="0" applyAlignment="1" applyBorder="1" applyFont="1">
      <alignment shrinkToFit="0" vertical="center" wrapText="0"/>
    </xf>
    <xf borderId="40" fillId="0" fontId="1" numFmtId="0" xfId="0" applyAlignment="1" applyBorder="1" applyFont="1">
      <alignment shrinkToFit="0" vertical="center" wrapText="0"/>
    </xf>
    <xf borderId="41" fillId="0" fontId="1" numFmtId="0" xfId="0" applyAlignment="1" applyBorder="1" applyFont="1">
      <alignment readingOrder="0" shrinkToFit="0" vertical="center" wrapText="0"/>
    </xf>
    <xf borderId="42" fillId="0" fontId="1" numFmtId="0" xfId="0" applyAlignment="1" applyBorder="1" applyFont="1">
      <alignment readingOrder="0" shrinkToFit="0" vertical="center" wrapText="0"/>
    </xf>
    <xf borderId="44" fillId="0" fontId="1" numFmtId="0" xfId="0" applyAlignment="1" applyBorder="1" applyFont="1">
      <alignment readingOrder="0" shrinkToFit="0" vertical="center" wrapText="0"/>
    </xf>
    <xf borderId="42" fillId="0" fontId="1" numFmtId="0" xfId="0" applyAlignment="1" applyBorder="1" applyFont="1">
      <alignment shrinkToFit="0" vertical="center" wrapText="0"/>
    </xf>
    <xf borderId="42" fillId="11" fontId="1" numFmtId="0" xfId="0" applyAlignment="1" applyBorder="1" applyFont="1">
      <alignment shrinkToFit="0" vertical="center" wrapText="0"/>
    </xf>
    <xf borderId="0" fillId="11" fontId="1" numFmtId="0" xfId="0" applyAlignment="1" applyFont="1">
      <alignment shrinkToFit="0" vertical="center" wrapText="0"/>
    </xf>
    <xf borderId="42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65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shrinkToFit="0" vertical="center" wrapText="0"/>
    </xf>
    <xf borderId="32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66" fillId="2" fontId="12" numFmtId="0" xfId="0" applyAlignment="1" applyBorder="1" applyFont="1">
      <alignment shrinkToFit="0" vertical="center" wrapText="0"/>
    </xf>
    <xf borderId="42" fillId="2" fontId="12" numFmtId="0" xfId="0" applyAlignment="1" applyBorder="1" applyFont="1">
      <alignment horizontal="right" shrinkToFit="0" vertical="center" wrapText="0"/>
    </xf>
    <xf borderId="24" fillId="2" fontId="11" numFmtId="0" xfId="0" applyAlignment="1" applyBorder="1" applyFont="1">
      <alignment readingOrder="0" shrinkToFit="0" vertical="center" wrapText="0"/>
    </xf>
    <xf borderId="67" fillId="2" fontId="12" numFmtId="0" xfId="0" applyAlignment="1" applyBorder="1" applyFont="1">
      <alignment horizontal="right" shrinkToFit="0" vertical="center" wrapText="0"/>
    </xf>
    <xf borderId="68" fillId="11" fontId="12" numFmtId="0" xfId="0" applyAlignment="1" applyBorder="1" applyFont="1">
      <alignment horizontal="right" shrinkToFit="0" vertical="center" wrapText="0"/>
    </xf>
    <xf borderId="24" fillId="2" fontId="11" numFmtId="0" xfId="0" applyAlignment="1" applyBorder="1" applyFont="1">
      <alignment shrinkToFit="0" vertical="center" wrapText="0"/>
    </xf>
    <xf borderId="69" fillId="2" fontId="11" numFmtId="0" xfId="0" applyAlignment="1" applyBorder="1" applyFont="1">
      <alignment shrinkToFit="0" vertical="center" wrapText="0"/>
    </xf>
    <xf borderId="70" fillId="6" fontId="12" numFmtId="0" xfId="0" applyAlignment="1" applyBorder="1" applyFont="1">
      <alignment shrinkToFit="0" vertical="center" wrapText="0"/>
    </xf>
    <xf borderId="42" fillId="6" fontId="12" numFmtId="0" xfId="0" applyAlignment="1" applyBorder="1" applyFont="1">
      <alignment horizontal="right" shrinkToFit="0" vertical="center" wrapText="0"/>
    </xf>
    <xf borderId="54" fillId="6" fontId="11" numFmtId="0" xfId="0" applyAlignment="1" applyBorder="1" applyFont="1">
      <alignment readingOrder="0" shrinkToFit="0" vertical="center" wrapText="0"/>
    </xf>
    <xf borderId="71" fillId="6" fontId="12" numFmtId="0" xfId="0" applyAlignment="1" applyBorder="1" applyFont="1">
      <alignment horizontal="right" shrinkToFit="0" vertical="center" wrapText="0"/>
    </xf>
    <xf borderId="72" fillId="6" fontId="11" numFmtId="0" xfId="0" applyAlignment="1" applyBorder="1" applyFont="1">
      <alignment shrinkToFit="0" vertical="center" wrapText="0"/>
    </xf>
    <xf borderId="0" fillId="2" fontId="11" numFmtId="0" xfId="0" applyAlignment="1" applyFont="1">
      <alignment shrinkToFit="0" vertical="center" wrapText="0"/>
    </xf>
    <xf borderId="73" fillId="0" fontId="1" numFmtId="0" xfId="0" applyAlignment="1" applyBorder="1" applyFont="1">
      <alignment readingOrder="0" shrinkToFit="0" vertical="center" wrapText="0"/>
    </xf>
    <xf borderId="73" fillId="0" fontId="1" numFmtId="0" xfId="0" applyAlignment="1" applyBorder="1" applyFont="1">
      <alignment shrinkToFit="0" vertical="center" wrapText="0"/>
    </xf>
    <xf borderId="73" fillId="11" fontId="1" numFmtId="0" xfId="0" applyAlignment="1" applyBorder="1" applyFont="1">
      <alignment shrinkToFit="0" vertical="center" wrapText="0"/>
    </xf>
    <xf borderId="74" fillId="0" fontId="1" numFmtId="0" xfId="0" applyAlignment="1" applyBorder="1" applyFont="1">
      <alignment shrinkToFit="0" vertical="center" wrapText="0"/>
    </xf>
    <xf borderId="24" fillId="2" fontId="23" numFmtId="0" xfId="0" applyAlignment="1" applyBorder="1" applyFont="1">
      <alignment horizontal="right" shrinkToFit="0" vertical="center" wrapText="0"/>
    </xf>
    <xf borderId="75" fillId="2" fontId="12" numFmtId="0" xfId="0" applyAlignment="1" applyBorder="1" applyFont="1">
      <alignment horizontal="right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11" fontId="12" numFmtId="0" xfId="0" applyAlignment="1" applyFont="1">
      <alignment horizontal="right" shrinkToFit="0" vertical="center" wrapText="0"/>
    </xf>
    <xf borderId="0" fillId="2" fontId="23" numFmtId="0" xfId="0" applyAlignment="1" applyFont="1">
      <alignment horizontal="right" shrinkToFit="0" vertical="center" wrapText="0"/>
    </xf>
    <xf borderId="24" fillId="2" fontId="11" numFmtId="0" xfId="0" applyAlignment="1" applyBorder="1" applyFont="1">
      <alignment shrinkToFit="0" vertical="center" wrapText="0"/>
    </xf>
    <xf borderId="47" fillId="2" fontId="12" numFmtId="0" xfId="0" applyAlignment="1" applyBorder="1" applyFont="1">
      <alignment readingOrder="0" shrinkToFit="0" vertical="center" wrapText="0"/>
    </xf>
    <xf borderId="47" fillId="2" fontId="11" numFmtId="0" xfId="0" applyAlignment="1" applyBorder="1" applyFont="1">
      <alignment shrinkToFit="0" vertical="center" wrapText="0"/>
    </xf>
    <xf borderId="47" fillId="2" fontId="12" numFmtId="0" xfId="0" applyAlignment="1" applyBorder="1" applyFont="1">
      <alignment horizontal="right" shrinkToFit="0" vertical="center" wrapText="0"/>
    </xf>
    <xf borderId="8" fillId="2" fontId="12" numFmtId="0" xfId="0" applyAlignment="1" applyBorder="1" applyFont="1">
      <alignment horizontal="right" shrinkToFit="0" vertical="center" wrapText="0"/>
    </xf>
    <xf borderId="47" fillId="10" fontId="12" numFmtId="0" xfId="0" applyAlignment="1" applyBorder="1" applyFont="1">
      <alignment horizontal="right" shrinkToFit="0" vertical="center" wrapText="0"/>
    </xf>
    <xf borderId="32" fillId="2" fontId="12" numFmtId="0" xfId="0" applyAlignment="1" applyBorder="1" applyFont="1">
      <alignment horizontal="right" shrinkToFit="0" vertical="center" wrapText="0"/>
    </xf>
    <xf borderId="47" fillId="2" fontId="11" numFmtId="0" xfId="0" applyAlignment="1" applyBorder="1" applyFont="1">
      <alignment shrinkToFit="0" vertical="center" wrapText="0"/>
    </xf>
    <xf borderId="0" fillId="11" fontId="1" numFmtId="0" xfId="0" applyAlignment="1" applyFont="1">
      <alignment shrinkToFit="0" vertical="center" wrapText="0"/>
    </xf>
    <xf borderId="0" fillId="11" fontId="1" numFmtId="0" xfId="0" applyFont="1"/>
    <xf borderId="0" fillId="12" fontId="1" numFmtId="49" xfId="0" applyAlignment="1" applyFill="1" applyFont="1" applyNumberFormat="1">
      <alignment horizontal="left" readingOrder="0" shrinkToFit="0" vertical="center" wrapText="0"/>
    </xf>
    <xf borderId="8" fillId="12" fontId="1" numFmtId="0" xfId="0" applyAlignment="1" applyBorder="1" applyFont="1">
      <alignment readingOrder="0" shrinkToFit="0" vertical="center" wrapText="0"/>
    </xf>
    <xf borderId="30" fillId="12" fontId="1" numFmtId="0" xfId="0" applyAlignment="1" applyBorder="1" applyFont="1">
      <alignment readingOrder="0"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32" fillId="12" fontId="1" numFmtId="0" xfId="0" applyAlignment="1" applyBorder="1" applyFont="1">
      <alignment shrinkToFit="0" vertical="center" wrapText="0"/>
    </xf>
    <xf borderId="29" fillId="12" fontId="1" numFmtId="0" xfId="0" applyAlignment="1" applyBorder="1" applyFont="1">
      <alignment shrinkToFit="0" vertical="center" wrapText="0"/>
    </xf>
    <xf borderId="8" fillId="12" fontId="1" numFmtId="0" xfId="0" applyAlignment="1" applyBorder="1" applyFont="1">
      <alignment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30" fillId="12" fontId="1" numFmtId="0" xfId="0" applyAlignment="1" applyBorder="1" applyFont="1">
      <alignment shrinkToFit="0" vertical="center" wrapText="0"/>
    </xf>
    <xf borderId="30" fillId="0" fontId="1" numFmtId="0" xfId="0" applyAlignment="1" applyBorder="1" applyFont="1">
      <alignment readingOrder="0" shrinkToFit="0" vertical="center" wrapText="0"/>
    </xf>
    <xf borderId="39" fillId="12" fontId="1" numFmtId="0" xfId="0" applyAlignment="1" applyBorder="1" applyFont="1">
      <alignment shrinkToFit="0" vertical="center" wrapText="0"/>
    </xf>
    <xf borderId="39" fillId="0" fontId="1" numFmtId="0" xfId="0" applyAlignment="1" applyBorder="1" applyFont="1">
      <alignment shrinkToFit="0" vertical="center" wrapText="0"/>
    </xf>
    <xf borderId="42" fillId="12" fontId="1" numFmtId="0" xfId="0" applyAlignment="1" applyBorder="1" applyFont="1">
      <alignment shrinkToFit="0" vertical="center" wrapText="0"/>
    </xf>
    <xf borderId="42" fillId="0" fontId="1" numFmtId="0" xfId="0" applyAlignment="1" applyBorder="1" applyFont="1">
      <alignment shrinkToFit="0" vertical="center" wrapText="0"/>
    </xf>
    <xf borderId="0" fillId="12" fontId="1" numFmtId="0" xfId="0" applyAlignment="1" applyFont="1">
      <alignment shrinkToFit="0" vertical="center" wrapText="0"/>
    </xf>
    <xf borderId="65" fillId="0" fontId="1" numFmtId="0" xfId="0" applyAlignment="1" applyBorder="1" applyFont="1">
      <alignment shrinkToFit="0" vertical="center" wrapText="0"/>
    </xf>
    <xf borderId="76" fillId="2" fontId="12" numFmtId="0" xfId="0" applyAlignment="1" applyBorder="1" applyFont="1">
      <alignment shrinkToFit="0" vertical="center" wrapText="0"/>
    </xf>
    <xf borderId="77" fillId="2" fontId="12" numFmtId="0" xfId="0" applyAlignment="1" applyBorder="1" applyFont="1">
      <alignment horizontal="right" shrinkToFit="0" vertical="center" wrapText="0"/>
    </xf>
    <xf borderId="78" fillId="12" fontId="12" numFmtId="0" xfId="0" applyAlignment="1" applyBorder="1" applyFont="1">
      <alignment horizontal="right" shrinkToFit="0" vertical="center" wrapText="0"/>
    </xf>
    <xf borderId="79" fillId="2" fontId="11" numFmtId="0" xfId="0" applyAlignment="1" applyBorder="1" applyFont="1">
      <alignment shrinkToFit="0" vertical="center" wrapText="0"/>
    </xf>
    <xf borderId="80" fillId="6" fontId="12" numFmtId="0" xfId="0" applyAlignment="1" applyBorder="1" applyFont="1">
      <alignment shrinkToFit="0" vertical="center" wrapText="0"/>
    </xf>
    <xf borderId="81" fillId="6" fontId="12" numFmtId="0" xfId="0" applyAlignment="1" applyBorder="1" applyFont="1">
      <alignment horizontal="right" shrinkToFit="0" vertical="center" wrapText="0"/>
    </xf>
    <xf borderId="82" fillId="6" fontId="11" numFmtId="0" xfId="0" applyAlignment="1" applyBorder="1" applyFont="1">
      <alignment shrinkToFit="0" vertical="center" wrapText="0"/>
    </xf>
    <xf borderId="65" fillId="2" fontId="12" numFmtId="0" xfId="0" applyAlignment="1" applyBorder="1" applyFont="1">
      <alignment horizontal="right" shrinkToFit="0" vertical="center" wrapText="0"/>
    </xf>
    <xf borderId="0" fillId="12" fontId="12" numFmtId="0" xfId="0" applyAlignment="1" applyFont="1">
      <alignment horizontal="right" shrinkToFit="0" vertical="center" wrapText="0"/>
    </xf>
    <xf borderId="0" fillId="2" fontId="11" numFmtId="0" xfId="0" applyAlignment="1" applyFont="1">
      <alignment shrinkToFit="0" vertical="center" wrapText="0"/>
    </xf>
    <xf borderId="0" fillId="6" fontId="11" numFmtId="0" xfId="0" applyAlignment="1" applyFont="1">
      <alignment shrinkToFit="0" vertical="center" wrapText="0"/>
    </xf>
    <xf borderId="83" fillId="0" fontId="1" numFmtId="0" xfId="0" applyAlignment="1" applyBorder="1" applyFont="1">
      <alignment readingOrder="0" shrinkToFit="0" vertical="center" wrapText="0"/>
    </xf>
    <xf borderId="83" fillId="0" fontId="1" numFmtId="0" xfId="0" applyAlignment="1" applyBorder="1" applyFont="1">
      <alignment shrinkToFit="0" vertical="center" wrapText="0"/>
    </xf>
    <xf borderId="83" fillId="12" fontId="1" numFmtId="0" xfId="0" applyAlignment="1" applyBorder="1" applyFont="1">
      <alignment shrinkToFit="0" vertical="center" wrapText="0"/>
    </xf>
    <xf borderId="83" fillId="0" fontId="1" numFmtId="0" xfId="0" applyAlignment="1" applyBorder="1" applyFont="1">
      <alignment shrinkToFit="0" vertical="center" wrapText="0"/>
    </xf>
    <xf borderId="54" fillId="6" fontId="23" numFmtId="0" xfId="0" applyAlignment="1" applyBorder="1" applyFont="1">
      <alignment horizontal="right" shrinkToFit="0" vertical="center" wrapText="0"/>
    </xf>
    <xf borderId="54" fillId="6" fontId="11" numFmtId="0" xfId="0" applyAlignment="1" applyBorder="1" applyFont="1">
      <alignment shrinkToFit="0" vertical="center" wrapText="0"/>
    </xf>
    <xf borderId="0" fillId="6" fontId="12" numFmtId="0" xfId="0" applyAlignment="1" applyFont="1">
      <alignment readingOrder="0" shrinkToFit="0" vertical="center" wrapText="0"/>
    </xf>
    <xf borderId="0" fillId="6" fontId="12" numFmtId="0" xfId="0" applyAlignment="1" applyFont="1">
      <alignment horizontal="right" readingOrder="0" shrinkToFit="0" vertical="center" wrapText="0"/>
    </xf>
    <xf borderId="0" fillId="6" fontId="12" numFmtId="0" xfId="0" applyAlignment="1" applyFont="1">
      <alignment horizontal="right" shrinkToFit="0" vertical="center" wrapText="0"/>
    </xf>
    <xf borderId="0" fillId="6" fontId="12" numFmtId="0" xfId="0" applyAlignment="1" applyFont="1">
      <alignment shrinkToFit="0" vertical="center" wrapText="0"/>
    </xf>
    <xf borderId="0" fillId="6" fontId="23" numFmtId="0" xfId="0" applyAlignment="1" applyFont="1">
      <alignment horizontal="right" readingOrder="0" shrinkToFit="0" vertical="center" wrapText="0"/>
    </xf>
    <xf borderId="0" fillId="6" fontId="11" numFmtId="0" xfId="0" applyAlignment="1" applyFont="1">
      <alignment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2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E9B27"/>
          <bgColor rgb="FFEE9B27"/>
        </patternFill>
      </fill>
      <border/>
    </dxf>
    <dxf>
      <font>
        <color rgb="FFF09300"/>
      </font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8D97E8"/>
          <bgColor rgb="FF8D97E8"/>
        </patternFill>
      </fill>
      <border/>
    </dxf>
    <dxf>
      <font/>
      <fill>
        <patternFill patternType="solid">
          <fgColor rgb="FFE6B949"/>
          <bgColor rgb="FFE6B949"/>
        </patternFill>
      </fill>
      <border/>
    </dxf>
    <dxf>
      <font/>
      <fill>
        <patternFill patternType="solid">
          <fgColor rgb="FF5E5A5A"/>
          <bgColor rgb="FF5E5A5A"/>
        </patternFill>
      </fill>
      <border/>
    </dxf>
  </dxfs>
  <tableStyles count="21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hmed-style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Places-style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Places-style 2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5" pivot="0" name="Summary-style">
      <tableStyleElement dxfId="1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4" pivot="0" name="Summary-style 2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3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4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5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6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7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8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9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10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Summary-style 11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REstock prod-style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Drinks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Chips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Snacks-style">
      <tableStyleElement dxfId="12" type="headerRow"/>
      <tableStyleElement dxfId="2" type="firstRowStripe"/>
      <tableStyleElement dxfId="3" type="secondRowStripe"/>
      <tableStyleElement dxfId="4" size="0" type="wholeTable"/>
    </tableStyle>
    <tableStyle count="4" pivot="0" name="Product Master-style">
      <tableStyleElement dxfId="1" type="headerRow"/>
      <tableStyleElement dxfId="2" type="firstRowStripe"/>
      <tableStyleElement dxfId="7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38150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K2:O4" displayName="Table6" name="Table6" id="1">
  <tableColumns count="5">
    <tableColumn name="Total income" id="1"/>
    <tableColumn name="Revenue Income" id="2"/>
    <tableColumn name="ads Income" id="3"/>
    <tableColumn name="Total Spent" id="4"/>
    <tableColumn name="Name" id="5"/>
  </tableColumns>
  <tableStyleInfo name="Transactions-style" showColumnStripes="0" showFirstColumn="1" showLastColumn="1" showRowStripes="1"/>
</table>
</file>

<file path=xl/tables/table2.xml><?xml version="1.0" encoding="utf-8"?>
<table xmlns="http://schemas.openxmlformats.org/spreadsheetml/2006/main" ref="A10:H666" displayName="Transactions_" name="Transactions_" id="2">
  <tableColumns count="8">
    <tableColumn name="Date" id="1"/>
    <tableColumn name="NameTransaction Amount" id="2"/>
    <tableColumn name="Transaction" id="3"/>
    <tableColumn name="Currency" id="4"/>
    <tableColumn name="Money Flow" id="5"/>
    <tableColumn name="Transaction Type" id="6"/>
    <tableColumn name="Location" id="7"/>
    <tableColumn name="Transaction Description" id="8"/>
  </tableColumns>
  <tableStyleInfo name="Transactions-style 2" showColumnStripes="0" showFirstColumn="1" showLastColumn="1" showRowStripes="1"/>
</table>
</file>

<file path=xl/tables/table3.xml><?xml version="1.0" encoding="utf-8"?>
<table xmlns="http://schemas.openxmlformats.org/spreadsheetml/2006/main" ref="A1:E10" displayName="Table7" name="Table7" id="3">
  <tableColumns count="5">
    <tableColumn name="Date" id="1"/>
    <tableColumn name="البضاعه" id="2"/>
    <tableColumn name="مرتب" id="3"/>
    <tableColumn name="Column 4" id="4"/>
    <tableColumn name="Column 5" id="5"/>
  </tableColumns>
  <tableStyleInfo name="Ahmed-style" showColumnStripes="0" showFirstColumn="1" showLastColumn="1" showRowStripes="1"/>
</table>
</file>

<file path=xl/tables/table4.xml><?xml version="1.0" encoding="utf-8"?>
<table xmlns="http://schemas.openxmlformats.org/spreadsheetml/2006/main" ref="A1:I26" displayName="Table8" name="Table8" id="4">
  <tableColumns count="9">
    <tableColumn name="Date Added" id="1"/>
    <tableColumn name="Place Name " id="2"/>
    <tableColumn name="Contact Name " id="3"/>
    <tableColumn name="Phone Number " id="4"/>
    <tableColumn name="Location/Address " id="5"/>
    <tableColumn name="Type of Place " id="6"/>
    <tableColumn name="Priority" id="7"/>
    <tableColumn name="Status " id="8"/>
    <tableColumn name="Notes" id="9"/>
  </tableColumns>
  <tableStyleInfo name="Places-style" showColumnStripes="0" showFirstColumn="1" showLastColumn="1" showRowStripes="1"/>
</table>
</file>

<file path=xl/tables/table5.xml><?xml version="1.0" encoding="utf-8"?>
<table xmlns="http://schemas.openxmlformats.org/spreadsheetml/2006/main" ref="K1:P10" displayName="Table9" name="Table9" id="5">
  <tableColumns count="6">
    <tableColumn name="Date Added" id="1"/>
    <tableColumn name="Company name " id="2"/>
    <tableColumn name="Product" id="3"/>
    <tableColumn name="Phone #" id="4"/>
    <tableColumn name="Status" id="5"/>
    <tableColumn name="Notes" id="6"/>
  </tableColumns>
  <tableStyleInfo name="Places-style 2" showColumnStripes="0" showFirstColumn="1" showLastColumn="1" showRowStripes="1"/>
</table>
</file>

<file path=xl/tables/table6.xml><?xml version="1.0" encoding="utf-8"?>
<table xmlns="http://schemas.openxmlformats.org/spreadsheetml/2006/main" totalsRowCount="1" ref="A3:D7" displayName="Total" name="Total" id="6">
  <tableColumns count="4">
    <tableColumn totalsRowLabel="Total" name="Category" id="1"/>
    <tableColumn totalsRowFunction="custom" name="Total COGS" id="2"/>
    <tableColumn totalsRowFunction="custom" name="Total Revenue" id="3"/>
    <tableColumn totalsRowFunction="custom" name="Total Profit" id="4"/>
  </tableColumns>
  <tableStyleInfo name="Summary-style" showColumnStripes="0" showFirstColumn="1" showLastColumn="1" showRowStripes="1"/>
</table>
</file>

<file path=xl/tables/table7.xml><?xml version="1.0" encoding="utf-8"?>
<table xmlns="http://schemas.openxmlformats.org/spreadsheetml/2006/main" ref="A11:D15" displayName="Total2024" name="Total2024" id="7">
  <tableColumns count="4">
    <tableColumn name="Column 1" id="1"/>
    <tableColumn name="Total COGS" id="2"/>
    <tableColumn name="Total Revenue" id="3"/>
    <tableColumn name="Total Profit" id="4"/>
  </tableColumns>
  <tableStyleInfo name="Summary-style 2" showColumnStripes="0" showFirstColumn="1" showLastColumn="1" showRowStripes="1"/>
</table>
</file>

<file path=xl/tables/table8.xml><?xml version="1.0" encoding="utf-8"?>
<table xmlns="http://schemas.openxmlformats.org/spreadsheetml/2006/main" ref="F11:I15" displayName="Month8" name="Month8" id="8">
  <tableColumns count="4">
    <tableColumn name="Category" id="1"/>
    <tableColumn name="Total COGS" id="2"/>
    <tableColumn name="Total Revenue" id="3"/>
    <tableColumn name="Total Profit" id="4"/>
  </tableColumns>
  <tableStyleInfo name="Summary-style 3" showColumnStripes="0" showFirstColumn="1" showLastColumn="1" showRowStripes="1"/>
</table>
</file>

<file path=xl/tables/table9.xml><?xml version="1.0" encoding="utf-8"?>
<table xmlns="http://schemas.openxmlformats.org/spreadsheetml/2006/main" ref="K11:N15" displayName="Month9" name="Month9" id="9">
  <tableColumns count="4">
    <tableColumn name="Category" id="1"/>
    <tableColumn name="Total COGS" id="2"/>
    <tableColumn name="Total Revenue" id="3"/>
    <tableColumn name="Total Profit" id="4"/>
  </tableColumns>
  <tableStyleInfo name="Summary-style 4" showColumnStripes="0" showFirstColumn="1" showLastColumn="1" showRowStripes="1"/>
</table>
</file>

<file path=xl/tables/table10.xml><?xml version="1.0" encoding="utf-8"?>
<table xmlns="http://schemas.openxmlformats.org/spreadsheetml/2006/main" ref="P11:S15" displayName="Month12" name="Month12" id="10">
  <tableColumns count="4">
    <tableColumn name="Category" id="1"/>
    <tableColumn name="Total COGS" id="2"/>
    <tableColumn name="Total Revenue" id="3"/>
    <tableColumn name="Total Profit" id="4"/>
  </tableColumns>
  <tableStyleInfo name="Summary-style 5" showColumnStripes="0" showFirstColumn="1" showLastColumn="1" showRowStripes="1"/>
</table>
</file>

<file path=xl/tables/table11.xml><?xml version="1.0" encoding="utf-8"?>
<table xmlns="http://schemas.openxmlformats.org/spreadsheetml/2006/main" ref="A18:D22" displayName="Total2025" name="Total2025" id="11">
  <tableColumns count="4">
    <tableColumn name="Column 1" id="1"/>
    <tableColumn name="Column 2" id="2"/>
    <tableColumn name="Column 3" id="3"/>
    <tableColumn name="Column 4" id="4"/>
  </tableColumns>
  <tableStyleInfo name="Summary-style 6" showColumnStripes="0" showFirstColumn="1" showLastColumn="1" showRowStripes="1"/>
</table>
</file>

<file path=xl/tables/table12.xml><?xml version="1.0" encoding="utf-8"?>
<table xmlns="http://schemas.openxmlformats.org/spreadsheetml/2006/main" ref="F18:I22" displayName="month1" name="month1" id="12">
  <tableColumns count="4">
    <tableColumn name="Category" id="1"/>
    <tableColumn name="Total COGS" id="2"/>
    <tableColumn name="Total Revenue" id="3"/>
    <tableColumn name="Total Profit" id="4"/>
  </tableColumns>
  <tableStyleInfo name="Summary-style 7" showColumnStripes="0" showFirstColumn="1" showLastColumn="1" showRowStripes="1"/>
</table>
</file>

<file path=xl/tables/table13.xml><?xml version="1.0" encoding="utf-8"?>
<table xmlns="http://schemas.openxmlformats.org/spreadsheetml/2006/main" ref="K18:N22" displayName="month2" name="month2" id="13">
  <tableColumns count="4">
    <tableColumn name="Category" id="1"/>
    <tableColumn name="Total COGS" id="2"/>
    <tableColumn name="Total Revenue" id="3"/>
    <tableColumn name="Total Profit" id="4"/>
  </tableColumns>
  <tableStyleInfo name="Summary-style 8" showColumnStripes="0" showFirstColumn="1" showLastColumn="1" showRowStripes="1"/>
</table>
</file>

<file path=xl/tables/table14.xml><?xml version="1.0" encoding="utf-8"?>
<table xmlns="http://schemas.openxmlformats.org/spreadsheetml/2006/main" ref="P18:S22" displayName="Table3" name="Table3" id="14">
  <tableColumns count="4">
    <tableColumn name="Category" id="1"/>
    <tableColumn name="Total COGS" id="2"/>
    <tableColumn name="Total Revenue" id="3"/>
    <tableColumn name="Total Profit" id="4"/>
  </tableColumns>
  <tableStyleInfo name="Summary-style 9" showColumnStripes="0" showFirstColumn="1" showLastColumn="1" showRowStripes="1"/>
</table>
</file>

<file path=xl/tables/table15.xml><?xml version="1.0" encoding="utf-8"?>
<table xmlns="http://schemas.openxmlformats.org/spreadsheetml/2006/main" ref="U18:AB23" displayName="month4" name="month4" id="15">
  <tableColumns count="8">
    <tableColumn name="Commodity type" id="1"/>
    <tableColumn name="Pay by cash" id="2"/>
    <tableColumn name="Quantity" id="3"/>
    <tableColumn name="Profit" id="4"/>
    <tableColumn name="Gross margin" id="5"/>
    <tableColumn name="Proportion" id="6"/>
    <tableColumn name="Total amount" id="7"/>
    <tableColumn name="Total quantity" id="8"/>
  </tableColumns>
  <tableStyleInfo name="Summary-style 10" showColumnStripes="0" showFirstColumn="1" showLastColumn="1" showRowStripes="1"/>
</table>
</file>

<file path=xl/tables/table16.xml><?xml version="1.0" encoding="utf-8"?>
<table xmlns="http://schemas.openxmlformats.org/spreadsheetml/2006/main" ref="AD18:AK23" displayName="moth5" name="moth5" id="16">
  <tableColumns count="8">
    <tableColumn name="Commodity type" id="1"/>
    <tableColumn name="Pay by cash" id="2"/>
    <tableColumn name="Quantity" id="3"/>
    <tableColumn name="Profit" id="4"/>
    <tableColumn name="Gross margin" id="5"/>
    <tableColumn name="Proportion" id="6"/>
    <tableColumn name="Total amount" id="7"/>
    <tableColumn name="Total quantity" id="8"/>
  </tableColumns>
  <tableStyleInfo name="Summary-style 11" showColumnStripes="0" showFirstColumn="1" showLastColumn="1" showRowStripes="1"/>
</table>
</file>

<file path=xl/tables/table17.xml><?xml version="1.0" encoding="utf-8"?>
<table xmlns="http://schemas.openxmlformats.org/spreadsheetml/2006/main" ref="A4:B35" displayName="Table1" name="Table1" id="17">
  <tableColumns count="2">
    <tableColumn name="Date" id="1"/>
    <tableColumn name="Description" id="2"/>
  </tableColumns>
  <tableStyleInfo name="REstock prod-style" showColumnStripes="0" showFirstColumn="1" showLastColumn="1" showRowStripes="1"/>
</table>
</file>

<file path=xl/tables/table18.xml><?xml version="1.0" encoding="utf-8"?>
<table xmlns="http://schemas.openxmlformats.org/spreadsheetml/2006/main" ref="A1:Q217" displayName="Table2" name="Table2" id="18">
  <tableColumns count="17">
    <tableColumn name="Product Name" id="1"/>
    <tableColumn name="# pack" id="2"/>
    <tableColumn name="items inside the pack" id="3"/>
    <tableColumn name="Initial Stock" id="4"/>
    <tableColumn name="Cost per Unit" id="5"/>
    <tableColumn name="Selling Price per Unit" id="6"/>
    <tableColumn name="margin profit" id="7"/>
    <tableColumn name="# packs sold" id="8"/>
    <tableColumn name="Quantity Sold" id="9"/>
    <tableColumn name="# pack Restoked " id="10"/>
    <tableColumn name="Restocked Quantity" id="11"/>
    <tableColumn name="# Curremt packs" id="12"/>
    <tableColumn name="Current Stock" id="13"/>
    <tableColumn name="COGS" id="14"/>
    <tableColumn name="Revenue" id="15"/>
    <tableColumn name="Gross Profit" id="16"/>
    <tableColumn name="Month" id="17"/>
  </tableColumns>
  <tableStyleInfo name="Drinks-style" showColumnStripes="0" showFirstColumn="1" showLastColumn="1" showRowStripes="1"/>
</table>
</file>

<file path=xl/tables/table19.xml><?xml version="1.0" encoding="utf-8"?>
<table xmlns="http://schemas.openxmlformats.org/spreadsheetml/2006/main" ref="A1:Q88" displayName="Table4" name="Table4" id="19">
  <tableColumns count="17">
    <tableColumn name="Product Name" id="1"/>
    <tableColumn name="# packs" id="2"/>
    <tableColumn name="items in pack" id="3"/>
    <tableColumn name="Initial Stock" id="4"/>
    <tableColumn name="Cost per Unit" id="5"/>
    <tableColumn name="Selling Price per Unit" id="6"/>
    <tableColumn name="Column 1" id="7"/>
    <tableColumn name="# packs sold" id="8"/>
    <tableColumn name="Quantity Sold" id="9"/>
    <tableColumn name="# pack Restoked " id="10"/>
    <tableColumn name="Restocked Quantity" id="11"/>
    <tableColumn name="# Curremt packs" id="12"/>
    <tableColumn name="Current Stock" id="13"/>
    <tableColumn name="COGS" id="14"/>
    <tableColumn name="Revenue" id="15"/>
    <tableColumn name="Gross Profit" id="16"/>
    <tableColumn name="Month/year" id="17"/>
  </tableColumns>
  <tableStyleInfo name="Chips-style" showColumnStripes="0" showFirstColumn="1" showLastColumn="1" showRowStripes="1"/>
</table>
</file>

<file path=xl/tables/table20.xml><?xml version="1.0" encoding="utf-8"?>
<table xmlns="http://schemas.openxmlformats.org/spreadsheetml/2006/main" ref="A1:Q122" displayName="شهر_8" name="شهر_8" id="20">
  <tableColumns count="17">
    <tableColumn name="Product Name" id="1"/>
    <tableColumn name="# pack" id="2"/>
    <tableColumn name="items inside the pack" id="3"/>
    <tableColumn name="Initial Stock" id="4"/>
    <tableColumn name="Cost per Unit" id="5"/>
    <tableColumn name="Selling Price per Unit" id="6"/>
    <tableColumn name="Column 1" id="7"/>
    <tableColumn name="# packs sold" id="8"/>
    <tableColumn name="Quantity Sold" id="9"/>
    <tableColumn name="# pack Restoked " id="10"/>
    <tableColumn name="Restocked Quantity" id="11"/>
    <tableColumn name="# Curremt packs" id="12"/>
    <tableColumn name="Current Stock" id="13"/>
    <tableColumn name="COGS" id="14"/>
    <tableColumn name="Revenue" id="15"/>
    <tableColumn name="Gross Profit" id="16"/>
    <tableColumn name="Column 16" id="17"/>
  </tableColumns>
  <tableStyleInfo name="Snacks-style" showColumnStripes="0" showFirstColumn="1" showLastColumn="1" showRowStripes="1"/>
</table>
</file>

<file path=xl/tables/table21.xml><?xml version="1.0" encoding="utf-8"?>
<table xmlns="http://schemas.openxmlformats.org/spreadsheetml/2006/main" ref="A1:G274" displayName="Table5" name="Table5" id="21">
  <tableColumns count="7">
    <tableColumn name="Product Name" id="1"/>
    <tableColumn name="Category" id="2"/>
    <tableColumn name="Unit Cost" id="3"/>
    <tableColumn name="Selling Price" id="4"/>
    <tableColumn name="Pack Size" id="5"/>
    <tableColumn name="Margin" id="6"/>
    <tableColumn name="Effective Date" id="7"/>
  </tableColumns>
  <tableStyleInfo name="Product 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QHIWiZJCConY8txPFqEp1HoObjuNw1I/view?usp=sharing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QHIWiZJCConY8txPFqEp1HoObjuNw1I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13.xml"/><Relationship Id="rId22" Type="http://schemas.openxmlformats.org/officeDocument/2006/relationships/table" Target="../tables/table15.xml"/><Relationship Id="rId21" Type="http://schemas.openxmlformats.org/officeDocument/2006/relationships/table" Target="../tables/table14.xml"/><Relationship Id="rId13" Type="http://schemas.openxmlformats.org/officeDocument/2006/relationships/table" Target="../tables/table6.xml"/><Relationship Id="rId23" Type="http://schemas.openxmlformats.org/officeDocument/2006/relationships/table" Target="../tables/table16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7" Type="http://schemas.openxmlformats.org/officeDocument/2006/relationships/table" Target="../tables/table10.xml"/><Relationship Id="rId16" Type="http://schemas.openxmlformats.org/officeDocument/2006/relationships/table" Target="../tables/table9.xml"/><Relationship Id="rId19" Type="http://schemas.openxmlformats.org/officeDocument/2006/relationships/table" Target="../tables/table12.xml"/><Relationship Id="rId18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7.57"/>
    <col customWidth="1" min="2" max="2" width="17.29"/>
    <col customWidth="1" min="3" max="3" width="28.86"/>
    <col customWidth="1" min="4" max="4" width="10.43"/>
    <col customWidth="1" min="5" max="5" width="28.43"/>
    <col customWidth="1" min="6" max="6" width="26.0"/>
    <col customWidth="1" min="7" max="7" width="28.57"/>
    <col customWidth="1" min="8" max="8" width="27.43"/>
    <col customWidth="1" min="9" max="9" width="26.14"/>
    <col customWidth="1" min="10" max="10" width="20.43"/>
    <col customWidth="1" min="11" max="11" width="28.71"/>
    <col customWidth="1" min="12" max="12" width="21.14"/>
    <col customWidth="1" min="13" max="13" width="24.0"/>
    <col customWidth="1" min="14" max="14" width="17.57"/>
    <col customWidth="1" min="15" max="15" width="8.71"/>
    <col customWidth="1" min="16" max="16" width="14.14"/>
    <col customWidth="1" min="17" max="20" width="8.71"/>
    <col customWidth="1" min="21" max="21" width="15.71"/>
    <col customWidth="1" min="22" max="27" width="8.71"/>
  </cols>
  <sheetData>
    <row r="1">
      <c r="A1" s="1"/>
      <c r="B1" s="2" t="s">
        <v>0</v>
      </c>
      <c r="D1" s="2" t="s">
        <v>1</v>
      </c>
      <c r="F1" s="1"/>
      <c r="K1" s="3"/>
      <c r="L1" s="3"/>
      <c r="M1" s="3"/>
      <c r="P1" s="1"/>
      <c r="Q1" s="1"/>
    </row>
    <row r="2" ht="22.5" customHeight="1">
      <c r="K2" s="4" t="s">
        <v>2</v>
      </c>
      <c r="L2" s="4" t="s">
        <v>3</v>
      </c>
      <c r="M2" s="4" t="s">
        <v>4</v>
      </c>
      <c r="N2" s="5" t="s">
        <v>5</v>
      </c>
      <c r="O2" s="6" t="s">
        <v>6</v>
      </c>
    </row>
    <row r="3" ht="22.5" customHeight="1">
      <c r="B3" s="7">
        <f>SUMIFS(C11:C501, B11:B501, "anas", D11:D501, "lyd", E11:E501, "money in") - SUMIFS(C11:C501, B11:B501, "anas", D11:D501, "lyd", E11:E501, "money out")</f>
        <v>-24360.5</v>
      </c>
      <c r="D3" s="8">
        <f>SUMIFS(C11:C566, B11:B566, "snacky", D11:D566, "lyd", E11:E566, "money in") - SUMIFS(C11:C566, B11:B566, "snacky", D11:D566, "lyd", E11:E566, "money out")</f>
        <v>27469</v>
      </c>
      <c r="K3" s="9">
        <f>SUMIFS(C11:C501, B11:B501, "snacky", D11:D501, "lyd", E11:E501, "money in")</f>
        <v>300808</v>
      </c>
      <c r="L3" s="10">
        <f>SUMIFS(C11:C501, B11:B501, "snacky", D11:D501, "lyd", E11:E501, "money in",F11:F501,"Revenue")</f>
        <v>266258</v>
      </c>
      <c r="M3" s="10">
        <f>SUMIFS(C11:C501, B11:B501, "snacky", D11:D501, "lyd", E11:E501, "money in",F11:F501,"ads")</f>
        <v>30000</v>
      </c>
      <c r="N3" s="10">
        <f>SUMIFS(C11:C501, B11:B501, "snacky", D11:D501, "lyd", E11:E501, "money out")</f>
        <v>307626</v>
      </c>
      <c r="O3" s="11" t="s">
        <v>1</v>
      </c>
    </row>
    <row r="4" ht="22.5" customHeight="1">
      <c r="K4" s="10">
        <f>SUMIFS(C11:C501, B11:B501, "anas", D11:D501, "lyd", E11:E501, "money in")</f>
        <v>11590</v>
      </c>
      <c r="L4" s="10"/>
      <c r="M4" s="10"/>
      <c r="N4" s="10">
        <f>SUMIFS(C11:C501, B11:B501, "anas", D11:D501, "lyd", E11:E501, "money out")</f>
        <v>35950.5</v>
      </c>
      <c r="O4" s="11" t="s">
        <v>0</v>
      </c>
    </row>
    <row r="5">
      <c r="B5" s="12">
        <f>SUMIFS(C11:C501, B11:B501, "anas", D11:D501, "$", E11:E501, "money in") - SUMIFS(C11:C501, B11:B501, "anas", D11:D501, "$", E11:E501, "money out")</f>
        <v>-418</v>
      </c>
      <c r="D5" s="12">
        <f>SUMIFS(C11:C501, B11:B501, "snacky", D11:D501, "$", E11:E501, "money in") - SUMIFS(C11:C501, B11:B501, "snakcy", D11:D501, "$", E11:E501, "money out")</f>
        <v>0</v>
      </c>
    </row>
    <row r="7" ht="3.0" customHeight="1"/>
    <row r="8">
      <c r="B8" s="13" t="s">
        <v>7</v>
      </c>
      <c r="C8" s="14"/>
      <c r="D8" s="14"/>
      <c r="E8" s="14"/>
      <c r="F8" s="14"/>
      <c r="G8" s="15"/>
    </row>
    <row r="9">
      <c r="B9" s="16"/>
      <c r="C9" s="17"/>
      <c r="D9" s="17"/>
      <c r="E9" s="17"/>
      <c r="F9" s="17"/>
      <c r="G9" s="18"/>
      <c r="K9" s="19" t="s">
        <v>8</v>
      </c>
    </row>
    <row r="10" ht="22.5" customHeight="1">
      <c r="A10" s="20" t="s">
        <v>9</v>
      </c>
      <c r="B10" s="20" t="s">
        <v>10</v>
      </c>
      <c r="C10" s="21" t="s">
        <v>11</v>
      </c>
      <c r="D10" s="20" t="s">
        <v>12</v>
      </c>
      <c r="E10" s="20" t="s">
        <v>13</v>
      </c>
      <c r="F10" s="20" t="s">
        <v>14</v>
      </c>
      <c r="G10" s="21" t="s">
        <v>15</v>
      </c>
      <c r="H10" s="20" t="s">
        <v>16</v>
      </c>
    </row>
    <row r="11" ht="22.5" customHeight="1">
      <c r="A11" s="22"/>
      <c r="B11" s="23" t="s">
        <v>0</v>
      </c>
      <c r="C11" s="24">
        <v>1800.0</v>
      </c>
      <c r="D11" s="23" t="s">
        <v>17</v>
      </c>
      <c r="E11" s="25" t="s">
        <v>18</v>
      </c>
      <c r="F11" s="25"/>
      <c r="G11" s="26"/>
      <c r="H11" s="27" t="s">
        <v>19</v>
      </c>
      <c r="L11" s="28" t="str">
        <f>IFERROR(__xludf.DUMMYFUNCTION("VSTACK(
  {""Month"",""Total Revenue"",""HTMall"", ""HTLand"",""deplomacyMall"",""AlTahaddy"",""KhalijUniversity"",""AlmouasafatHospital"",""Istiklal"",""Ads (cash)"",""Total Rent"",""Net Revenue (excl Ads)""},
  ARRAYFORMULA(
    LET(
      monthCol, TEX"&amp;"T(DATEVALUE(A11:A666),""yyyy-mm""),
      amountCol, VALUE(SUBSTITUTE(C11:C666, "","","""")),
      placeCol, G11:G666,
      directionCol, E11:E666,
      typeCol, F11:F666,
      revOK, (directionCol=""Money In"")*(typeCol=""Revenue""),
      months, S"&amp;"ORT(UNIQUE(FILTER(monthCol, revOK))),
      baseData, FILTER({monthCol, placeCol, amountCol}, revOK),
      HTMRev, IFERROR(VLOOKUP(months, QUERY(baseData, ""select Col1,sum(Col3) where Col2='HTMall' group by Col1"",0),2,false),0),                       "&amp;"                   HTLRev, IFERROR(VLOOKUP(months, QUERY(baseData, ""select Col1,sum(Col3) where Col2='HTLand' group by Col1"",0),2,false),0),  
      DPRev, IFERROR(VLOOKUP(months, QUERY(baseData, ""select Col1,sum(Col3) where Col2='deplomacyMall' group "&amp;"by Col1"",0),2,false),0),
                         ALTRev, IFERROR(VLOOKUP(months, QUERY(baseData, ""select Col1,sum(Col3) where Col2='AlTahaddy' group by Col1"",0),2,false),0),                                            ALKRev, IFERROR(VLOOKUP(months, QU"&amp;"ERY(baseData, ""select Col1,sum(Col3) where Col2='KhalijUniversity' group by Col1"",0),2,false),0),                    AHRev, IFERROR(VLOOKUP(months, QUERY(baseData, ""select Col1,sum(Col3) where Col2='AlmouasafatHospital' group by Col1"",0),2,false),0), "&amp;"                   
      ISRev, IFERROR(VLOOKUP(months, QUERY(baseData, ""select Col1,sum(Col3) where Col2='Istiklal' group by Col1"",0),2,false),0),
      totalRev, HTMRev +HTLRev+ DPRev + ALTRev + ALKRev + AHRev +ISRev,
      adsBase, FILTER({monthCo"&amp;"l, amountCol}, (directionCol=""Money In"")*(typeCol=""Ads"")),
      adsCash, IFERROR(VLOOKUP(months, QUERY(adsBase,""select Col1,sum(Col2) group by Col1"",0),2,false),0),
      rent, IF(HTMRev&gt;0,1000,0)+IF(HTLRev&gt;0,800,0)+IF(DPRev&gt;0,500,0),
      netRev"&amp;", totalRev - rent,
      HSTACK(months,totalRev,HTMRev,HTLRev,DPRev,ALTRev,ALKRev,AHRev,ISRev,adsCash,rent,netRev)
    )
  )
)
"),"Month")</f>
        <v>Month</v>
      </c>
      <c r="M11" s="28" t="str">
        <f>IFERROR(__xludf.DUMMYFUNCTION("""COMPUTED_VALUE"""),"Total Revenue")</f>
        <v>Total Revenue</v>
      </c>
      <c r="N11" s="28" t="str">
        <f>IFERROR(__xludf.DUMMYFUNCTION("""COMPUTED_VALUE"""),"HTMall")</f>
        <v>HTMall</v>
      </c>
      <c r="O11" s="28" t="str">
        <f>IFERROR(__xludf.DUMMYFUNCTION("""COMPUTED_VALUE"""),"HTLand")</f>
        <v>HTLand</v>
      </c>
      <c r="P11" s="28" t="str">
        <f>IFERROR(__xludf.DUMMYFUNCTION("""COMPUTED_VALUE"""),"deplomacyMall")</f>
        <v>deplomacyMall</v>
      </c>
      <c r="Q11" s="28" t="str">
        <f>IFERROR(__xludf.DUMMYFUNCTION("""COMPUTED_VALUE"""),"AlTahaddy")</f>
        <v>AlTahaddy</v>
      </c>
      <c r="R11" s="28" t="str">
        <f>IFERROR(__xludf.DUMMYFUNCTION("""COMPUTED_VALUE"""),"KhalijUniversity")</f>
        <v>KhalijUniversity</v>
      </c>
      <c r="S11" s="28" t="str">
        <f>IFERROR(__xludf.DUMMYFUNCTION("""COMPUTED_VALUE"""),"AlmouasafatHospital")</f>
        <v>AlmouasafatHospital</v>
      </c>
      <c r="T11" s="28" t="str">
        <f>IFERROR(__xludf.DUMMYFUNCTION("""COMPUTED_VALUE"""),"Istiklal")</f>
        <v>Istiklal</v>
      </c>
      <c r="U11" s="28" t="str">
        <f>IFERROR(__xludf.DUMMYFUNCTION("""COMPUTED_VALUE"""),"Ads (cash)")</f>
        <v>Ads (cash)</v>
      </c>
      <c r="V11" s="28" t="str">
        <f>IFERROR(__xludf.DUMMYFUNCTION("""COMPUTED_VALUE"""),"Total Rent")</f>
        <v>Total Rent</v>
      </c>
      <c r="W11" s="28" t="str">
        <f>IFERROR(__xludf.DUMMYFUNCTION("""COMPUTED_VALUE"""),"Net Revenue (excl Ads)")</f>
        <v>Net Revenue (excl Ads)</v>
      </c>
    </row>
    <row r="12" ht="22.5" customHeight="1">
      <c r="A12" s="22"/>
      <c r="B12" s="23" t="s">
        <v>0</v>
      </c>
      <c r="C12" s="24">
        <v>363.0</v>
      </c>
      <c r="D12" s="25" t="s">
        <v>17</v>
      </c>
      <c r="E12" s="25" t="s">
        <v>18</v>
      </c>
      <c r="F12" s="25"/>
      <c r="G12" s="29"/>
      <c r="H12" s="30" t="s">
        <v>20</v>
      </c>
      <c r="L12" s="28" t="str">
        <f>IFERROR(__xludf.DUMMYFUNCTION("""COMPUTED_VALUE"""),"2024-08")</f>
        <v>2024-08</v>
      </c>
      <c r="M12" s="28">
        <f>IFERROR(__xludf.DUMMYFUNCTION("""COMPUTED_VALUE"""),3283.0)</f>
        <v>3283</v>
      </c>
      <c r="N12" s="28">
        <f>IFERROR(__xludf.DUMMYFUNCTION("""COMPUTED_VALUE"""),0.0)</f>
        <v>0</v>
      </c>
      <c r="O12" s="28">
        <f>IFERROR(__xludf.DUMMYFUNCTION("""COMPUTED_VALUE"""),0.0)</f>
        <v>0</v>
      </c>
      <c r="P12" s="28">
        <f>IFERROR(__xludf.DUMMYFUNCTION("""COMPUTED_VALUE"""),3283.0)</f>
        <v>3283</v>
      </c>
      <c r="Q12" s="28">
        <f>IFERROR(__xludf.DUMMYFUNCTION("""COMPUTED_VALUE"""),0.0)</f>
        <v>0</v>
      </c>
      <c r="R12" s="28">
        <f>IFERROR(__xludf.DUMMYFUNCTION("""COMPUTED_VALUE"""),0.0)</f>
        <v>0</v>
      </c>
      <c r="S12" s="28">
        <f>IFERROR(__xludf.DUMMYFUNCTION("""COMPUTED_VALUE"""),0.0)</f>
        <v>0</v>
      </c>
      <c r="T12" s="28">
        <f>IFERROR(__xludf.DUMMYFUNCTION("""COMPUTED_VALUE"""),0.0)</f>
        <v>0</v>
      </c>
      <c r="U12" s="28">
        <f>IFERROR(__xludf.DUMMYFUNCTION("""COMPUTED_VALUE"""),2500.0)</f>
        <v>2500</v>
      </c>
      <c r="V12" s="28">
        <f>IFERROR(__xludf.DUMMYFUNCTION("""COMPUTED_VALUE"""),500.0)</f>
        <v>500</v>
      </c>
      <c r="W12" s="28">
        <f>IFERROR(__xludf.DUMMYFUNCTION("""COMPUTED_VALUE"""),2783.0)</f>
        <v>2783</v>
      </c>
    </row>
    <row r="13" ht="22.5" customHeight="1">
      <c r="A13" s="22"/>
      <c r="B13" s="23" t="s">
        <v>0</v>
      </c>
      <c r="C13" s="24">
        <v>10000.0</v>
      </c>
      <c r="D13" s="25" t="s">
        <v>21</v>
      </c>
      <c r="E13" s="25" t="s">
        <v>18</v>
      </c>
      <c r="F13" s="25"/>
      <c r="G13" s="31"/>
      <c r="H13" s="30" t="s">
        <v>22</v>
      </c>
      <c r="L13" s="28" t="str">
        <f>IFERROR(__xludf.DUMMYFUNCTION("""COMPUTED_VALUE"""),"2024-09")</f>
        <v>2024-09</v>
      </c>
      <c r="M13" s="28">
        <f>IFERROR(__xludf.DUMMYFUNCTION("""COMPUTED_VALUE"""),10159.0)</f>
        <v>10159</v>
      </c>
      <c r="N13" s="28">
        <f>IFERROR(__xludf.DUMMYFUNCTION("""COMPUTED_VALUE"""),0.0)</f>
        <v>0</v>
      </c>
      <c r="O13" s="28">
        <f>IFERROR(__xludf.DUMMYFUNCTION("""COMPUTED_VALUE"""),0.0)</f>
        <v>0</v>
      </c>
      <c r="P13" s="28">
        <f>IFERROR(__xludf.DUMMYFUNCTION("""COMPUTED_VALUE"""),10159.0)</f>
        <v>10159</v>
      </c>
      <c r="Q13" s="28">
        <f>IFERROR(__xludf.DUMMYFUNCTION("""COMPUTED_VALUE"""),0.0)</f>
        <v>0</v>
      </c>
      <c r="R13" s="28">
        <f>IFERROR(__xludf.DUMMYFUNCTION("""COMPUTED_VALUE"""),0.0)</f>
        <v>0</v>
      </c>
      <c r="S13" s="28">
        <f>IFERROR(__xludf.DUMMYFUNCTION("""COMPUTED_VALUE"""),0.0)</f>
        <v>0</v>
      </c>
      <c r="T13" s="28">
        <f>IFERROR(__xludf.DUMMYFUNCTION("""COMPUTED_VALUE"""),0.0)</f>
        <v>0</v>
      </c>
      <c r="U13" s="28">
        <f>IFERROR(__xludf.DUMMYFUNCTION("""COMPUTED_VALUE"""),0.0)</f>
        <v>0</v>
      </c>
      <c r="V13" s="28">
        <f>IFERROR(__xludf.DUMMYFUNCTION("""COMPUTED_VALUE"""),500.0)</f>
        <v>500</v>
      </c>
      <c r="W13" s="28">
        <f>IFERROR(__xludf.DUMMYFUNCTION("""COMPUTED_VALUE"""),9659.0)</f>
        <v>9659</v>
      </c>
    </row>
    <row r="14" ht="22.5" customHeight="1">
      <c r="A14" s="22"/>
      <c r="B14" s="23" t="s">
        <v>0</v>
      </c>
      <c r="C14" s="24">
        <v>1500.0</v>
      </c>
      <c r="D14" s="25" t="s">
        <v>21</v>
      </c>
      <c r="E14" s="23" t="s">
        <v>18</v>
      </c>
      <c r="F14" s="25"/>
      <c r="G14" s="32"/>
      <c r="H14" s="30" t="s">
        <v>23</v>
      </c>
      <c r="L14" s="28" t="str">
        <f>IFERROR(__xludf.DUMMYFUNCTION("""COMPUTED_VALUE"""),"2024-11")</f>
        <v>2024-11</v>
      </c>
      <c r="M14" s="28">
        <f>IFERROR(__xludf.DUMMYFUNCTION("""COMPUTED_VALUE"""),836.0)</f>
        <v>836</v>
      </c>
      <c r="N14" s="28">
        <f>IFERROR(__xludf.DUMMYFUNCTION("""COMPUTED_VALUE"""),0.0)</f>
        <v>0</v>
      </c>
      <c r="O14" s="28">
        <f>IFERROR(__xludf.DUMMYFUNCTION("""COMPUTED_VALUE"""),0.0)</f>
        <v>0</v>
      </c>
      <c r="P14" s="28">
        <f>IFERROR(__xludf.DUMMYFUNCTION("""COMPUTED_VALUE"""),836.0)</f>
        <v>836</v>
      </c>
      <c r="Q14" s="28">
        <f>IFERROR(__xludf.DUMMYFUNCTION("""COMPUTED_VALUE"""),0.0)</f>
        <v>0</v>
      </c>
      <c r="R14" s="28">
        <f>IFERROR(__xludf.DUMMYFUNCTION("""COMPUTED_VALUE"""),0.0)</f>
        <v>0</v>
      </c>
      <c r="S14" s="28">
        <f>IFERROR(__xludf.DUMMYFUNCTION("""COMPUTED_VALUE"""),0.0)</f>
        <v>0</v>
      </c>
      <c r="T14" s="28">
        <f>IFERROR(__xludf.DUMMYFUNCTION("""COMPUTED_VALUE"""),0.0)</f>
        <v>0</v>
      </c>
      <c r="U14" s="28">
        <f>IFERROR(__xludf.DUMMYFUNCTION("""COMPUTED_VALUE"""),0.0)</f>
        <v>0</v>
      </c>
      <c r="V14" s="28">
        <f>IFERROR(__xludf.DUMMYFUNCTION("""COMPUTED_VALUE"""),500.0)</f>
        <v>500</v>
      </c>
      <c r="W14" s="28">
        <f>IFERROR(__xludf.DUMMYFUNCTION("""COMPUTED_VALUE"""),336.0)</f>
        <v>336</v>
      </c>
    </row>
    <row r="15" ht="22.5" customHeight="1">
      <c r="A15" s="22"/>
      <c r="B15" s="23" t="s">
        <v>0</v>
      </c>
      <c r="C15" s="24">
        <v>50.0</v>
      </c>
      <c r="D15" s="25" t="s">
        <v>17</v>
      </c>
      <c r="E15" s="23" t="s">
        <v>18</v>
      </c>
      <c r="F15" s="25"/>
      <c r="G15" s="32"/>
      <c r="H15" s="30" t="s">
        <v>24</v>
      </c>
      <c r="L15" s="28" t="str">
        <f>IFERROR(__xludf.DUMMYFUNCTION("""COMPUTED_VALUE"""),"2024-12")</f>
        <v>2024-12</v>
      </c>
      <c r="M15" s="28">
        <f>IFERROR(__xludf.DUMMYFUNCTION("""COMPUTED_VALUE"""),7553.0)</f>
        <v>7553</v>
      </c>
      <c r="N15" s="28">
        <f>IFERROR(__xludf.DUMMYFUNCTION("""COMPUTED_VALUE"""),0.0)</f>
        <v>0</v>
      </c>
      <c r="O15" s="28">
        <f>IFERROR(__xludf.DUMMYFUNCTION("""COMPUTED_VALUE"""),0.0)</f>
        <v>0</v>
      </c>
      <c r="P15" s="28">
        <f>IFERROR(__xludf.DUMMYFUNCTION("""COMPUTED_VALUE"""),7553.0)</f>
        <v>7553</v>
      </c>
      <c r="Q15" s="28">
        <f>IFERROR(__xludf.DUMMYFUNCTION("""COMPUTED_VALUE"""),0.0)</f>
        <v>0</v>
      </c>
      <c r="R15" s="28">
        <f>IFERROR(__xludf.DUMMYFUNCTION("""COMPUTED_VALUE"""),0.0)</f>
        <v>0</v>
      </c>
      <c r="S15" s="28">
        <f>IFERROR(__xludf.DUMMYFUNCTION("""COMPUTED_VALUE"""),0.0)</f>
        <v>0</v>
      </c>
      <c r="T15" s="28">
        <f>IFERROR(__xludf.DUMMYFUNCTION("""COMPUTED_VALUE"""),0.0)</f>
        <v>0</v>
      </c>
      <c r="U15" s="28">
        <f>IFERROR(__xludf.DUMMYFUNCTION("""COMPUTED_VALUE"""),2500.0)</f>
        <v>2500</v>
      </c>
      <c r="V15" s="28">
        <f>IFERROR(__xludf.DUMMYFUNCTION("""COMPUTED_VALUE"""),500.0)</f>
        <v>500</v>
      </c>
      <c r="W15" s="28">
        <f>IFERROR(__xludf.DUMMYFUNCTION("""COMPUTED_VALUE"""),7053.0)</f>
        <v>7053</v>
      </c>
    </row>
    <row r="16" ht="22.5" customHeight="1">
      <c r="A16" s="22"/>
      <c r="B16" s="23" t="s">
        <v>0</v>
      </c>
      <c r="C16" s="24">
        <v>750.0</v>
      </c>
      <c r="D16" s="23" t="s">
        <v>21</v>
      </c>
      <c r="E16" s="23" t="s">
        <v>18</v>
      </c>
      <c r="F16" s="25" t="s">
        <v>25</v>
      </c>
      <c r="G16" s="32"/>
      <c r="H16" s="30" t="s">
        <v>26</v>
      </c>
      <c r="L16" s="28" t="str">
        <f>IFERROR(__xludf.DUMMYFUNCTION("""COMPUTED_VALUE"""),"2025-01")</f>
        <v>2025-01</v>
      </c>
      <c r="M16" s="28">
        <f>IFERROR(__xludf.DUMMYFUNCTION("""COMPUTED_VALUE"""),8288.0)</f>
        <v>8288</v>
      </c>
      <c r="N16" s="28">
        <f>IFERROR(__xludf.DUMMYFUNCTION("""COMPUTED_VALUE"""),0.0)</f>
        <v>0</v>
      </c>
      <c r="O16" s="28">
        <f>IFERROR(__xludf.DUMMYFUNCTION("""COMPUTED_VALUE"""),0.0)</f>
        <v>0</v>
      </c>
      <c r="P16" s="28">
        <f>IFERROR(__xludf.DUMMYFUNCTION("""COMPUTED_VALUE"""),8288.0)</f>
        <v>8288</v>
      </c>
      <c r="Q16" s="28">
        <f>IFERROR(__xludf.DUMMYFUNCTION("""COMPUTED_VALUE"""),0.0)</f>
        <v>0</v>
      </c>
      <c r="R16" s="28">
        <f>IFERROR(__xludf.DUMMYFUNCTION("""COMPUTED_VALUE"""),0.0)</f>
        <v>0</v>
      </c>
      <c r="S16" s="28">
        <f>IFERROR(__xludf.DUMMYFUNCTION("""COMPUTED_VALUE"""),0.0)</f>
        <v>0</v>
      </c>
      <c r="T16" s="28">
        <f>IFERROR(__xludf.DUMMYFUNCTION("""COMPUTED_VALUE"""),0.0)</f>
        <v>0</v>
      </c>
      <c r="U16" s="28">
        <f>IFERROR(__xludf.DUMMYFUNCTION("""COMPUTED_VALUE"""),0.0)</f>
        <v>0</v>
      </c>
      <c r="V16" s="28">
        <f>IFERROR(__xludf.DUMMYFUNCTION("""COMPUTED_VALUE"""),500.0)</f>
        <v>500</v>
      </c>
      <c r="W16" s="28">
        <f>IFERROR(__xludf.DUMMYFUNCTION("""COMPUTED_VALUE"""),7788.0)</f>
        <v>7788</v>
      </c>
    </row>
    <row r="17" ht="22.5" customHeight="1">
      <c r="A17" s="22"/>
      <c r="B17" s="23" t="s">
        <v>0</v>
      </c>
      <c r="C17" s="24">
        <v>40.0</v>
      </c>
      <c r="D17" s="23" t="s">
        <v>21</v>
      </c>
      <c r="E17" s="23" t="s">
        <v>18</v>
      </c>
      <c r="F17" s="23" t="s">
        <v>25</v>
      </c>
      <c r="G17" s="32"/>
      <c r="H17" s="30" t="s">
        <v>27</v>
      </c>
      <c r="L17" s="28" t="str">
        <f>IFERROR(__xludf.DUMMYFUNCTION("""COMPUTED_VALUE"""),"2025-02")</f>
        <v>2025-02</v>
      </c>
      <c r="M17" s="28">
        <f>IFERROR(__xludf.DUMMYFUNCTION("""COMPUTED_VALUE"""),7480.0)</f>
        <v>7480</v>
      </c>
      <c r="N17" s="28">
        <f>IFERROR(__xludf.DUMMYFUNCTION("""COMPUTED_VALUE"""),0.0)</f>
        <v>0</v>
      </c>
      <c r="O17" s="28">
        <f>IFERROR(__xludf.DUMMYFUNCTION("""COMPUTED_VALUE"""),0.0)</f>
        <v>0</v>
      </c>
      <c r="P17" s="28">
        <f>IFERROR(__xludf.DUMMYFUNCTION("""COMPUTED_VALUE"""),7480.0)</f>
        <v>7480</v>
      </c>
      <c r="Q17" s="28">
        <f>IFERROR(__xludf.DUMMYFUNCTION("""COMPUTED_VALUE"""),0.0)</f>
        <v>0</v>
      </c>
      <c r="R17" s="28">
        <f>IFERROR(__xludf.DUMMYFUNCTION("""COMPUTED_VALUE"""),0.0)</f>
        <v>0</v>
      </c>
      <c r="S17" s="28">
        <f>IFERROR(__xludf.DUMMYFUNCTION("""COMPUTED_VALUE"""),0.0)</f>
        <v>0</v>
      </c>
      <c r="T17" s="28">
        <f>IFERROR(__xludf.DUMMYFUNCTION("""COMPUTED_VALUE"""),0.0)</f>
        <v>0</v>
      </c>
      <c r="U17" s="28">
        <f>IFERROR(__xludf.DUMMYFUNCTION("""COMPUTED_VALUE"""),0.0)</f>
        <v>0</v>
      </c>
      <c r="V17" s="28">
        <f>IFERROR(__xludf.DUMMYFUNCTION("""COMPUTED_VALUE"""),500.0)</f>
        <v>500</v>
      </c>
      <c r="W17" s="28">
        <f>IFERROR(__xludf.DUMMYFUNCTION("""COMPUTED_VALUE"""),6980.0)</f>
        <v>6980</v>
      </c>
    </row>
    <row r="18" ht="15.75" customHeight="1">
      <c r="A18" s="22"/>
      <c r="B18" s="23" t="s">
        <v>0</v>
      </c>
      <c r="C18" s="24">
        <v>300.0</v>
      </c>
      <c r="D18" s="25" t="s">
        <v>21</v>
      </c>
      <c r="E18" s="23" t="s">
        <v>18</v>
      </c>
      <c r="F18" s="25"/>
      <c r="G18" s="32"/>
      <c r="H18" s="30" t="s">
        <v>28</v>
      </c>
      <c r="L18" s="28" t="str">
        <f>IFERROR(__xludf.DUMMYFUNCTION("""COMPUTED_VALUE"""),"2025-03")</f>
        <v>2025-03</v>
      </c>
      <c r="M18" s="28">
        <f>IFERROR(__xludf.DUMMYFUNCTION("""COMPUTED_VALUE"""),8925.0)</f>
        <v>8925</v>
      </c>
      <c r="N18" s="28">
        <f>IFERROR(__xludf.DUMMYFUNCTION("""COMPUTED_VALUE"""),0.0)</f>
        <v>0</v>
      </c>
      <c r="O18" s="28">
        <f>IFERROR(__xludf.DUMMYFUNCTION("""COMPUTED_VALUE"""),0.0)</f>
        <v>0</v>
      </c>
      <c r="P18" s="28">
        <f>IFERROR(__xludf.DUMMYFUNCTION("""COMPUTED_VALUE"""),8925.0)</f>
        <v>8925</v>
      </c>
      <c r="Q18" s="28">
        <f>IFERROR(__xludf.DUMMYFUNCTION("""COMPUTED_VALUE"""),0.0)</f>
        <v>0</v>
      </c>
      <c r="R18" s="28">
        <f>IFERROR(__xludf.DUMMYFUNCTION("""COMPUTED_VALUE"""),0.0)</f>
        <v>0</v>
      </c>
      <c r="S18" s="28">
        <f>IFERROR(__xludf.DUMMYFUNCTION("""COMPUTED_VALUE"""),0.0)</f>
        <v>0</v>
      </c>
      <c r="T18" s="28">
        <f>IFERROR(__xludf.DUMMYFUNCTION("""COMPUTED_VALUE"""),0.0)</f>
        <v>0</v>
      </c>
      <c r="U18" s="28">
        <f>IFERROR(__xludf.DUMMYFUNCTION("""COMPUTED_VALUE"""),1500.0)</f>
        <v>1500</v>
      </c>
      <c r="V18" s="28">
        <f>IFERROR(__xludf.DUMMYFUNCTION("""COMPUTED_VALUE"""),500.0)</f>
        <v>500</v>
      </c>
      <c r="W18" s="28">
        <f>IFERROR(__xludf.DUMMYFUNCTION("""COMPUTED_VALUE"""),8425.0)</f>
        <v>8425</v>
      </c>
    </row>
    <row r="19" ht="15.75" customHeight="1">
      <c r="A19" s="22"/>
      <c r="B19" s="23" t="s">
        <v>0</v>
      </c>
      <c r="C19" s="24">
        <v>70.0</v>
      </c>
      <c r="D19" s="25" t="s">
        <v>21</v>
      </c>
      <c r="E19" s="23" t="s">
        <v>18</v>
      </c>
      <c r="F19" s="25"/>
      <c r="G19" s="32"/>
      <c r="H19" s="30" t="s">
        <v>27</v>
      </c>
      <c r="L19" s="28" t="str">
        <f>IFERROR(__xludf.DUMMYFUNCTION("""COMPUTED_VALUE"""),"2025-04")</f>
        <v>2025-04</v>
      </c>
      <c r="M19" s="28">
        <f>IFERROR(__xludf.DUMMYFUNCTION("""COMPUTED_VALUE"""),15847.0)</f>
        <v>15847</v>
      </c>
      <c r="N19" s="28">
        <f>IFERROR(__xludf.DUMMYFUNCTION("""COMPUTED_VALUE"""),0.0)</f>
        <v>0</v>
      </c>
      <c r="O19" s="28">
        <f>IFERROR(__xludf.DUMMYFUNCTION("""COMPUTED_VALUE"""),0.0)</f>
        <v>0</v>
      </c>
      <c r="P19" s="28">
        <f>IFERROR(__xludf.DUMMYFUNCTION("""COMPUTED_VALUE"""),15847.0)</f>
        <v>15847</v>
      </c>
      <c r="Q19" s="28">
        <f>IFERROR(__xludf.DUMMYFUNCTION("""COMPUTED_VALUE"""),0.0)</f>
        <v>0</v>
      </c>
      <c r="R19" s="28">
        <f>IFERROR(__xludf.DUMMYFUNCTION("""COMPUTED_VALUE"""),0.0)</f>
        <v>0</v>
      </c>
      <c r="S19" s="28">
        <f>IFERROR(__xludf.DUMMYFUNCTION("""COMPUTED_VALUE"""),0.0)</f>
        <v>0</v>
      </c>
      <c r="T19" s="28">
        <f>IFERROR(__xludf.DUMMYFUNCTION("""COMPUTED_VALUE"""),0.0)</f>
        <v>0</v>
      </c>
      <c r="U19" s="28">
        <f>IFERROR(__xludf.DUMMYFUNCTION("""COMPUTED_VALUE"""),1500.0)</f>
        <v>1500</v>
      </c>
      <c r="V19" s="28">
        <f>IFERROR(__xludf.DUMMYFUNCTION("""COMPUTED_VALUE"""),500.0)</f>
        <v>500</v>
      </c>
      <c r="W19" s="28">
        <f>IFERROR(__xludf.DUMMYFUNCTION("""COMPUTED_VALUE"""),15347.0)</f>
        <v>15347</v>
      </c>
    </row>
    <row r="20" ht="15.75" customHeight="1">
      <c r="A20" s="22"/>
      <c r="B20" s="23" t="s">
        <v>0</v>
      </c>
      <c r="C20" s="24">
        <v>340.0</v>
      </c>
      <c r="D20" s="25" t="s">
        <v>21</v>
      </c>
      <c r="E20" s="23" t="s">
        <v>18</v>
      </c>
      <c r="F20" s="25"/>
      <c r="G20" s="32"/>
      <c r="H20" s="30" t="s">
        <v>26</v>
      </c>
      <c r="L20" s="28" t="str">
        <f>IFERROR(__xludf.DUMMYFUNCTION("""COMPUTED_VALUE"""),"2025-05")</f>
        <v>2025-05</v>
      </c>
      <c r="M20" s="28">
        <f>IFERROR(__xludf.DUMMYFUNCTION("""COMPUTED_VALUE"""),8426.0)</f>
        <v>8426</v>
      </c>
      <c r="N20" s="28">
        <f>IFERROR(__xludf.DUMMYFUNCTION("""COMPUTED_VALUE"""),1157.0)</f>
        <v>1157</v>
      </c>
      <c r="O20" s="28">
        <f>IFERROR(__xludf.DUMMYFUNCTION("""COMPUTED_VALUE"""),0.0)</f>
        <v>0</v>
      </c>
      <c r="P20" s="28">
        <f>IFERROR(__xludf.DUMMYFUNCTION("""COMPUTED_VALUE"""),7269.0)</f>
        <v>7269</v>
      </c>
      <c r="Q20" s="28">
        <f>IFERROR(__xludf.DUMMYFUNCTION("""COMPUTED_VALUE"""),0.0)</f>
        <v>0</v>
      </c>
      <c r="R20" s="28">
        <f>IFERROR(__xludf.DUMMYFUNCTION("""COMPUTED_VALUE"""),0.0)</f>
        <v>0</v>
      </c>
      <c r="S20" s="28">
        <f>IFERROR(__xludf.DUMMYFUNCTION("""COMPUTED_VALUE"""),0.0)</f>
        <v>0</v>
      </c>
      <c r="T20" s="28">
        <f>IFERROR(__xludf.DUMMYFUNCTION("""COMPUTED_VALUE"""),0.0)</f>
        <v>0</v>
      </c>
      <c r="U20" s="28">
        <f>IFERROR(__xludf.DUMMYFUNCTION("""COMPUTED_VALUE"""),0.0)</f>
        <v>0</v>
      </c>
      <c r="V20" s="28">
        <f>IFERROR(__xludf.DUMMYFUNCTION("""COMPUTED_VALUE"""),1500.0)</f>
        <v>1500</v>
      </c>
      <c r="W20" s="28">
        <f>IFERROR(__xludf.DUMMYFUNCTION("""COMPUTED_VALUE"""),6926.0)</f>
        <v>6926</v>
      </c>
    </row>
    <row r="21" ht="15.75" customHeight="1">
      <c r="A21" s="22"/>
      <c r="B21" s="23" t="s">
        <v>0</v>
      </c>
      <c r="C21" s="24">
        <v>885.0</v>
      </c>
      <c r="D21" s="25" t="s">
        <v>21</v>
      </c>
      <c r="E21" s="23" t="s">
        <v>18</v>
      </c>
      <c r="F21" s="25"/>
      <c r="G21" s="33"/>
      <c r="H21" s="34" t="s">
        <v>29</v>
      </c>
      <c r="L21" s="28" t="str">
        <f>IFERROR(__xludf.DUMMYFUNCTION("""COMPUTED_VALUE"""),"2025-06")</f>
        <v>2025-06</v>
      </c>
      <c r="M21" s="28">
        <f>IFERROR(__xludf.DUMMYFUNCTION("""COMPUTED_VALUE"""),18609.0)</f>
        <v>18609</v>
      </c>
      <c r="N21" s="28">
        <f>IFERROR(__xludf.DUMMYFUNCTION("""COMPUTED_VALUE"""),11413.0)</f>
        <v>11413</v>
      </c>
      <c r="O21" s="28">
        <f>IFERROR(__xludf.DUMMYFUNCTION("""COMPUTED_VALUE"""),0.0)</f>
        <v>0</v>
      </c>
      <c r="P21" s="28">
        <f>IFERROR(__xludf.DUMMYFUNCTION("""COMPUTED_VALUE"""),7196.0)</f>
        <v>7196</v>
      </c>
      <c r="Q21" s="28">
        <f>IFERROR(__xludf.DUMMYFUNCTION("""COMPUTED_VALUE"""),0.0)</f>
        <v>0</v>
      </c>
      <c r="R21" s="28">
        <f>IFERROR(__xludf.DUMMYFUNCTION("""COMPUTED_VALUE"""),0.0)</f>
        <v>0</v>
      </c>
      <c r="S21" s="28">
        <f>IFERROR(__xludf.DUMMYFUNCTION("""COMPUTED_VALUE"""),0.0)</f>
        <v>0</v>
      </c>
      <c r="T21" s="28">
        <f>IFERROR(__xludf.DUMMYFUNCTION("""COMPUTED_VALUE"""),0.0)</f>
        <v>0</v>
      </c>
      <c r="U21" s="28">
        <f>IFERROR(__xludf.DUMMYFUNCTION("""COMPUTED_VALUE"""),3000.0)</f>
        <v>3000</v>
      </c>
      <c r="V21" s="28">
        <f>IFERROR(__xludf.DUMMYFUNCTION("""COMPUTED_VALUE"""),1500.0)</f>
        <v>1500</v>
      </c>
      <c r="W21" s="28">
        <f>IFERROR(__xludf.DUMMYFUNCTION("""COMPUTED_VALUE"""),17109.0)</f>
        <v>17109</v>
      </c>
    </row>
    <row r="22" ht="15.75" customHeight="1">
      <c r="A22" s="22"/>
      <c r="B22" s="23" t="s">
        <v>0</v>
      </c>
      <c r="C22" s="24">
        <v>702.0</v>
      </c>
      <c r="D22" s="25" t="s">
        <v>21</v>
      </c>
      <c r="E22" s="23" t="s">
        <v>18</v>
      </c>
      <c r="F22" s="25"/>
      <c r="G22" s="32"/>
      <c r="H22" s="30" t="s">
        <v>26</v>
      </c>
      <c r="L22" s="28" t="str">
        <f>IFERROR(__xludf.DUMMYFUNCTION("""COMPUTED_VALUE"""),"2025-07")</f>
        <v>2025-07</v>
      </c>
      <c r="M22" s="28">
        <f>IFERROR(__xludf.DUMMYFUNCTION("""COMPUTED_VALUE"""),19450.0)</f>
        <v>19450</v>
      </c>
      <c r="N22" s="28">
        <f>IFERROR(__xludf.DUMMYFUNCTION("""COMPUTED_VALUE"""),8693.0)</f>
        <v>8693</v>
      </c>
      <c r="O22" s="28">
        <f>IFERROR(__xludf.DUMMYFUNCTION("""COMPUTED_VALUE"""),0.0)</f>
        <v>0</v>
      </c>
      <c r="P22" s="28">
        <f>IFERROR(__xludf.DUMMYFUNCTION("""COMPUTED_VALUE"""),7434.0)</f>
        <v>7434</v>
      </c>
      <c r="Q22" s="28">
        <f>IFERROR(__xludf.DUMMYFUNCTION("""COMPUTED_VALUE"""),0.0)</f>
        <v>0</v>
      </c>
      <c r="R22" s="28">
        <f>IFERROR(__xludf.DUMMYFUNCTION("""COMPUTED_VALUE"""),0.0)</f>
        <v>0</v>
      </c>
      <c r="S22" s="28">
        <f>IFERROR(__xludf.DUMMYFUNCTION("""COMPUTED_VALUE"""),3323.0)</f>
        <v>3323</v>
      </c>
      <c r="T22" s="28">
        <f>IFERROR(__xludf.DUMMYFUNCTION("""COMPUTED_VALUE"""),0.0)</f>
        <v>0</v>
      </c>
      <c r="U22" s="28">
        <f>IFERROR(__xludf.DUMMYFUNCTION("""COMPUTED_VALUE"""),3000.0)</f>
        <v>3000</v>
      </c>
      <c r="V22" s="28">
        <f>IFERROR(__xludf.DUMMYFUNCTION("""COMPUTED_VALUE"""),1500.0)</f>
        <v>1500</v>
      </c>
      <c r="W22" s="28">
        <f>IFERROR(__xludf.DUMMYFUNCTION("""COMPUTED_VALUE"""),17950.0)</f>
        <v>17950</v>
      </c>
    </row>
    <row r="23" ht="15.75" customHeight="1">
      <c r="A23" s="22"/>
      <c r="B23" s="23" t="s">
        <v>0</v>
      </c>
      <c r="C23" s="24">
        <v>5.0</v>
      </c>
      <c r="D23" s="25" t="s">
        <v>17</v>
      </c>
      <c r="E23" s="23" t="s">
        <v>18</v>
      </c>
      <c r="F23" s="25"/>
      <c r="G23" s="32"/>
      <c r="H23" s="30" t="s">
        <v>30</v>
      </c>
      <c r="L23" s="28" t="str">
        <f>IFERROR(__xludf.DUMMYFUNCTION("""COMPUTED_VALUE"""),"2025-08")</f>
        <v>2025-08</v>
      </c>
      <c r="M23" s="28">
        <f>IFERROR(__xludf.DUMMYFUNCTION("""COMPUTED_VALUE"""),19750.0)</f>
        <v>19750</v>
      </c>
      <c r="N23" s="28">
        <f>IFERROR(__xludf.DUMMYFUNCTION("""COMPUTED_VALUE"""),8500.0)</f>
        <v>8500</v>
      </c>
      <c r="O23" s="28">
        <f>IFERROR(__xludf.DUMMYFUNCTION("""COMPUTED_VALUE"""),0.0)</f>
        <v>0</v>
      </c>
      <c r="P23" s="28">
        <f>IFERROR(__xludf.DUMMYFUNCTION("""COMPUTED_VALUE"""),5622.0)</f>
        <v>5622</v>
      </c>
      <c r="Q23" s="28">
        <f>IFERROR(__xludf.DUMMYFUNCTION("""COMPUTED_VALUE"""),0.0)</f>
        <v>0</v>
      </c>
      <c r="R23" s="28">
        <f>IFERROR(__xludf.DUMMYFUNCTION("""COMPUTED_VALUE"""),0.0)</f>
        <v>0</v>
      </c>
      <c r="S23" s="28">
        <f>IFERROR(__xludf.DUMMYFUNCTION("""COMPUTED_VALUE"""),5628.0)</f>
        <v>5628</v>
      </c>
      <c r="T23" s="28">
        <f>IFERROR(__xludf.DUMMYFUNCTION("""COMPUTED_VALUE"""),0.0)</f>
        <v>0</v>
      </c>
      <c r="U23" s="28">
        <f>IFERROR(__xludf.DUMMYFUNCTION("""COMPUTED_VALUE"""),0.0)</f>
        <v>0</v>
      </c>
      <c r="V23" s="28">
        <f>IFERROR(__xludf.DUMMYFUNCTION("""COMPUTED_VALUE"""),1500.0)</f>
        <v>1500</v>
      </c>
      <c r="W23" s="28">
        <f>IFERROR(__xludf.DUMMYFUNCTION("""COMPUTED_VALUE"""),18250.0)</f>
        <v>18250</v>
      </c>
    </row>
    <row r="24" ht="15.75" customHeight="1">
      <c r="A24" s="22"/>
      <c r="B24" s="23" t="s">
        <v>0</v>
      </c>
      <c r="C24" s="24">
        <v>59.5</v>
      </c>
      <c r="D24" s="25" t="s">
        <v>21</v>
      </c>
      <c r="E24" s="23" t="s">
        <v>18</v>
      </c>
      <c r="F24" s="25"/>
      <c r="G24" s="32"/>
      <c r="H24" s="30" t="s">
        <v>27</v>
      </c>
      <c r="L24" s="28" t="str">
        <f>IFERROR(__xludf.DUMMYFUNCTION("""COMPUTED_VALUE"""),"2025-09")</f>
        <v>2025-09</v>
      </c>
      <c r="M24" s="28">
        <f>IFERROR(__xludf.DUMMYFUNCTION("""COMPUTED_VALUE"""),12927.0)</f>
        <v>12927</v>
      </c>
      <c r="N24" s="28">
        <f>IFERROR(__xludf.DUMMYFUNCTION("""COMPUTED_VALUE"""),5884.0)</f>
        <v>5884</v>
      </c>
      <c r="O24" s="28">
        <f>IFERROR(__xludf.DUMMYFUNCTION("""COMPUTED_VALUE"""),0.0)</f>
        <v>0</v>
      </c>
      <c r="P24" s="28">
        <f>IFERROR(__xludf.DUMMYFUNCTION("""COMPUTED_VALUE"""),3091.0)</f>
        <v>3091</v>
      </c>
      <c r="Q24" s="28">
        <f>IFERROR(__xludf.DUMMYFUNCTION("""COMPUTED_VALUE"""),0.0)</f>
        <v>0</v>
      </c>
      <c r="R24" s="28">
        <f>IFERROR(__xludf.DUMMYFUNCTION("""COMPUTED_VALUE"""),0.0)</f>
        <v>0</v>
      </c>
      <c r="S24" s="28">
        <f>IFERROR(__xludf.DUMMYFUNCTION("""COMPUTED_VALUE"""),3952.0)</f>
        <v>3952</v>
      </c>
      <c r="T24" s="28">
        <f>IFERROR(__xludf.DUMMYFUNCTION("""COMPUTED_VALUE"""),0.0)</f>
        <v>0</v>
      </c>
      <c r="U24" s="28">
        <f>IFERROR(__xludf.DUMMYFUNCTION("""COMPUTED_VALUE"""),10000.0)</f>
        <v>10000</v>
      </c>
      <c r="V24" s="28">
        <f>IFERROR(__xludf.DUMMYFUNCTION("""COMPUTED_VALUE"""),1500.0)</f>
        <v>1500</v>
      </c>
      <c r="W24" s="28">
        <f>IFERROR(__xludf.DUMMYFUNCTION("""COMPUTED_VALUE"""),11427.0)</f>
        <v>11427</v>
      </c>
    </row>
    <row r="25" ht="15.75" customHeight="1">
      <c r="A25" s="22"/>
      <c r="B25" s="23" t="s">
        <v>0</v>
      </c>
      <c r="C25" s="24">
        <v>60.0</v>
      </c>
      <c r="D25" s="25" t="s">
        <v>21</v>
      </c>
      <c r="E25" s="23" t="s">
        <v>18</v>
      </c>
      <c r="F25" s="25"/>
      <c r="G25" s="32"/>
      <c r="H25" s="30" t="s">
        <v>27</v>
      </c>
      <c r="L25" s="28" t="str">
        <f>IFERROR(__xludf.DUMMYFUNCTION("""COMPUTED_VALUE"""),"2025-10")</f>
        <v>2025-10</v>
      </c>
      <c r="M25" s="28">
        <f>IFERROR(__xludf.DUMMYFUNCTION("""COMPUTED_VALUE"""),16451.0)</f>
        <v>16451</v>
      </c>
      <c r="N25" s="28">
        <f>IFERROR(__xludf.DUMMYFUNCTION("""COMPUTED_VALUE"""),6696.0)</f>
        <v>6696</v>
      </c>
      <c r="O25" s="28">
        <f>IFERROR(__xludf.DUMMYFUNCTION("""COMPUTED_VALUE"""),0.0)</f>
        <v>0</v>
      </c>
      <c r="P25" s="28">
        <f>IFERROR(__xludf.DUMMYFUNCTION("""COMPUTED_VALUE"""),4636.0)</f>
        <v>4636</v>
      </c>
      <c r="Q25" s="28">
        <f>IFERROR(__xludf.DUMMYFUNCTION("""COMPUTED_VALUE"""),0.0)</f>
        <v>0</v>
      </c>
      <c r="R25" s="28">
        <f>IFERROR(__xludf.DUMMYFUNCTION("""COMPUTED_VALUE"""),0.0)</f>
        <v>0</v>
      </c>
      <c r="S25" s="28">
        <f>IFERROR(__xludf.DUMMYFUNCTION("""COMPUTED_VALUE"""),5119.0)</f>
        <v>5119</v>
      </c>
      <c r="T25" s="28">
        <f>IFERROR(__xludf.DUMMYFUNCTION("""COMPUTED_VALUE"""),0.0)</f>
        <v>0</v>
      </c>
      <c r="U25" s="28">
        <f>IFERROR(__xludf.DUMMYFUNCTION("""COMPUTED_VALUE"""),0.0)</f>
        <v>0</v>
      </c>
      <c r="V25" s="28">
        <f>IFERROR(__xludf.DUMMYFUNCTION("""COMPUTED_VALUE"""),1500.0)</f>
        <v>1500</v>
      </c>
      <c r="W25" s="28">
        <f>IFERROR(__xludf.DUMMYFUNCTION("""COMPUTED_VALUE"""),14951.0)</f>
        <v>14951</v>
      </c>
    </row>
    <row r="26" ht="15.75" customHeight="1">
      <c r="A26" s="22"/>
      <c r="B26" s="23" t="s">
        <v>0</v>
      </c>
      <c r="C26" s="24">
        <v>15.0</v>
      </c>
      <c r="D26" s="25" t="s">
        <v>21</v>
      </c>
      <c r="E26" s="23" t="s">
        <v>18</v>
      </c>
      <c r="F26" s="25"/>
      <c r="G26" s="32"/>
      <c r="H26" s="30" t="s">
        <v>31</v>
      </c>
      <c r="L26" s="28" t="str">
        <f>IFERROR(__xludf.DUMMYFUNCTION("""COMPUTED_VALUE"""),"2025-11")</f>
        <v>2025-11</v>
      </c>
      <c r="M26" s="28">
        <f>IFERROR(__xludf.DUMMYFUNCTION("""COMPUTED_VALUE"""),13267.0)</f>
        <v>13267</v>
      </c>
      <c r="N26" s="28">
        <f>IFERROR(__xludf.DUMMYFUNCTION("""COMPUTED_VALUE"""),5090.0)</f>
        <v>5090</v>
      </c>
      <c r="O26" s="28">
        <f>IFERROR(__xludf.DUMMYFUNCTION("""COMPUTED_VALUE"""),0.0)</f>
        <v>0</v>
      </c>
      <c r="P26" s="28">
        <f>IFERROR(__xludf.DUMMYFUNCTION("""COMPUTED_VALUE"""),3893.0)</f>
        <v>3893</v>
      </c>
      <c r="Q26" s="28">
        <f>IFERROR(__xludf.DUMMYFUNCTION("""COMPUTED_VALUE"""),0.0)</f>
        <v>0</v>
      </c>
      <c r="R26" s="28">
        <f>IFERROR(__xludf.DUMMYFUNCTION("""COMPUTED_VALUE"""),0.0)</f>
        <v>0</v>
      </c>
      <c r="S26" s="28">
        <f>IFERROR(__xludf.DUMMYFUNCTION("""COMPUTED_VALUE"""),4284.0)</f>
        <v>4284</v>
      </c>
      <c r="T26" s="28">
        <f>IFERROR(__xludf.DUMMYFUNCTION("""COMPUTED_VALUE"""),0.0)</f>
        <v>0</v>
      </c>
      <c r="U26" s="28">
        <f>IFERROR(__xludf.DUMMYFUNCTION("""COMPUTED_VALUE"""),0.0)</f>
        <v>0</v>
      </c>
      <c r="V26" s="28">
        <f>IFERROR(__xludf.DUMMYFUNCTION("""COMPUTED_VALUE"""),1500.0)</f>
        <v>1500</v>
      </c>
      <c r="W26" s="28">
        <f>IFERROR(__xludf.DUMMYFUNCTION("""COMPUTED_VALUE"""),11767.0)</f>
        <v>11767</v>
      </c>
    </row>
    <row r="27" ht="15.75" customHeight="1">
      <c r="A27" s="22"/>
      <c r="B27" s="23" t="s">
        <v>1</v>
      </c>
      <c r="C27" s="24">
        <v>1882.0</v>
      </c>
      <c r="D27" s="25" t="s">
        <v>21</v>
      </c>
      <c r="E27" s="23" t="s">
        <v>18</v>
      </c>
      <c r="F27" s="23" t="s">
        <v>25</v>
      </c>
      <c r="G27" s="32"/>
      <c r="H27" s="30" t="s">
        <v>26</v>
      </c>
      <c r="L27" s="28" t="str">
        <f>IFERROR(__xludf.DUMMYFUNCTION("""COMPUTED_VALUE"""),"2025-12")</f>
        <v>2025-12</v>
      </c>
      <c r="M27" s="28">
        <f>IFERROR(__xludf.DUMMYFUNCTION("""COMPUTED_VALUE"""),17828.0)</f>
        <v>17828</v>
      </c>
      <c r="N27" s="28">
        <f>IFERROR(__xludf.DUMMYFUNCTION("""COMPUTED_VALUE"""),8092.0)</f>
        <v>8092</v>
      </c>
      <c r="O27" s="28">
        <f>IFERROR(__xludf.DUMMYFUNCTION("""COMPUTED_VALUE"""),0.0)</f>
        <v>0</v>
      </c>
      <c r="P27" s="28">
        <f>IFERROR(__xludf.DUMMYFUNCTION("""COMPUTED_VALUE"""),4621.0)</f>
        <v>4621</v>
      </c>
      <c r="Q27" s="28">
        <f>IFERROR(__xludf.DUMMYFUNCTION("""COMPUTED_VALUE"""),0.0)</f>
        <v>0</v>
      </c>
      <c r="R27" s="28">
        <f>IFERROR(__xludf.DUMMYFUNCTION("""COMPUTED_VALUE"""),0.0)</f>
        <v>0</v>
      </c>
      <c r="S27" s="28">
        <f>IFERROR(__xludf.DUMMYFUNCTION("""COMPUTED_VALUE"""),5115.0)</f>
        <v>5115</v>
      </c>
      <c r="T27" s="28">
        <f>IFERROR(__xludf.DUMMYFUNCTION("""COMPUTED_VALUE"""),0.0)</f>
        <v>0</v>
      </c>
      <c r="U27" s="28">
        <f>IFERROR(__xludf.DUMMYFUNCTION("""COMPUTED_VALUE"""),0.0)</f>
        <v>0</v>
      </c>
      <c r="V27" s="28">
        <f>IFERROR(__xludf.DUMMYFUNCTION("""COMPUTED_VALUE"""),1500.0)</f>
        <v>1500</v>
      </c>
      <c r="W27" s="28">
        <f>IFERROR(__xludf.DUMMYFUNCTION("""COMPUTED_VALUE"""),16328.0)</f>
        <v>16328</v>
      </c>
    </row>
    <row r="28" ht="15.75" customHeight="1">
      <c r="A28" s="22"/>
      <c r="B28" s="23" t="s">
        <v>0</v>
      </c>
      <c r="C28" s="24">
        <v>61.0</v>
      </c>
      <c r="D28" s="25" t="s">
        <v>21</v>
      </c>
      <c r="E28" s="23" t="s">
        <v>18</v>
      </c>
      <c r="F28" s="23" t="s">
        <v>25</v>
      </c>
      <c r="G28" s="32"/>
      <c r="H28" s="30" t="s">
        <v>27</v>
      </c>
      <c r="L28" s="28" t="str">
        <f>IFERROR(__xludf.DUMMYFUNCTION("""COMPUTED_VALUE"""),"2026-01")</f>
        <v>2026-01</v>
      </c>
      <c r="M28" s="28">
        <f>IFERROR(__xludf.DUMMYFUNCTION("""COMPUTED_VALUE"""),21248.0)</f>
        <v>21248</v>
      </c>
      <c r="N28" s="28">
        <f>IFERROR(__xludf.DUMMYFUNCTION("""COMPUTED_VALUE"""),10344.0)</f>
        <v>10344</v>
      </c>
      <c r="O28" s="28">
        <f>IFERROR(__xludf.DUMMYFUNCTION("""COMPUTED_VALUE"""),0.0)</f>
        <v>0</v>
      </c>
      <c r="P28" s="28">
        <f>IFERROR(__xludf.DUMMYFUNCTION("""COMPUTED_VALUE"""),2894.0)</f>
        <v>2894</v>
      </c>
      <c r="Q28" s="28">
        <f>IFERROR(__xludf.DUMMYFUNCTION("""COMPUTED_VALUE"""),0.0)</f>
        <v>0</v>
      </c>
      <c r="R28" s="28">
        <f>IFERROR(__xludf.DUMMYFUNCTION("""COMPUTED_VALUE"""),0.0)</f>
        <v>0</v>
      </c>
      <c r="S28" s="28">
        <f>IFERROR(__xludf.DUMMYFUNCTION("""COMPUTED_VALUE"""),4992.0)</f>
        <v>4992</v>
      </c>
      <c r="T28" s="28">
        <f>IFERROR(__xludf.DUMMYFUNCTION("""COMPUTED_VALUE"""),3018.0)</f>
        <v>3018</v>
      </c>
      <c r="U28" s="28">
        <f>IFERROR(__xludf.DUMMYFUNCTION("""COMPUTED_VALUE"""),0.0)</f>
        <v>0</v>
      </c>
      <c r="V28" s="28">
        <f>IFERROR(__xludf.DUMMYFUNCTION("""COMPUTED_VALUE"""),1500.0)</f>
        <v>1500</v>
      </c>
      <c r="W28" s="28">
        <f>IFERROR(__xludf.DUMMYFUNCTION("""COMPUTED_VALUE"""),19748.0)</f>
        <v>19748</v>
      </c>
    </row>
    <row r="29" ht="15.75" customHeight="1">
      <c r="A29" s="35">
        <v>45634.0</v>
      </c>
      <c r="B29" s="23" t="s">
        <v>1</v>
      </c>
      <c r="C29" s="24">
        <v>1943.0</v>
      </c>
      <c r="D29" s="25" t="s">
        <v>21</v>
      </c>
      <c r="E29" s="25" t="s">
        <v>32</v>
      </c>
      <c r="F29" s="23" t="s">
        <v>33</v>
      </c>
      <c r="G29" s="29" t="s">
        <v>34</v>
      </c>
      <c r="H29" s="30" t="s">
        <v>35</v>
      </c>
      <c r="L29" s="28" t="str">
        <f>IFERROR(__xludf.DUMMYFUNCTION("""COMPUTED_VALUE"""),"2026-02")</f>
        <v>2026-02</v>
      </c>
      <c r="M29" s="28">
        <f>IFERROR(__xludf.DUMMYFUNCTION("""COMPUTED_VALUE"""),25346.0)</f>
        <v>25346</v>
      </c>
      <c r="N29" s="28">
        <f>IFERROR(__xludf.DUMMYFUNCTION("""COMPUTED_VALUE"""),7474.0)</f>
        <v>7474</v>
      </c>
      <c r="O29" s="28">
        <f>IFERROR(__xludf.DUMMYFUNCTION("""COMPUTED_VALUE"""),4153.0)</f>
        <v>4153</v>
      </c>
      <c r="P29" s="28">
        <f>IFERROR(__xludf.DUMMYFUNCTION("""COMPUTED_VALUE"""),2387.0)</f>
        <v>2387</v>
      </c>
      <c r="Q29" s="28">
        <f>IFERROR(__xludf.DUMMYFUNCTION("""COMPUTED_VALUE"""),3577.0)</f>
        <v>3577</v>
      </c>
      <c r="R29" s="28">
        <f>IFERROR(__xludf.DUMMYFUNCTION("""COMPUTED_VALUE"""),0.0)</f>
        <v>0</v>
      </c>
      <c r="S29" s="28">
        <f>IFERROR(__xludf.DUMMYFUNCTION("""COMPUTED_VALUE"""),4241.0)</f>
        <v>4241</v>
      </c>
      <c r="T29" s="28">
        <f>IFERROR(__xludf.DUMMYFUNCTION("""COMPUTED_VALUE"""),3514.0)</f>
        <v>3514</v>
      </c>
      <c r="U29" s="28">
        <f>IFERROR(__xludf.DUMMYFUNCTION("""COMPUTED_VALUE"""),6000.0)</f>
        <v>6000</v>
      </c>
      <c r="V29" s="28">
        <f>IFERROR(__xludf.DUMMYFUNCTION("""COMPUTED_VALUE"""),2300.0)</f>
        <v>2300</v>
      </c>
      <c r="W29" s="28">
        <f>IFERROR(__xludf.DUMMYFUNCTION("""COMPUTED_VALUE"""),23046.0)</f>
        <v>23046</v>
      </c>
    </row>
    <row r="30" ht="15.75" customHeight="1">
      <c r="A30" s="35">
        <v>45641.0</v>
      </c>
      <c r="B30" s="23" t="s">
        <v>1</v>
      </c>
      <c r="C30" s="24">
        <v>779.0</v>
      </c>
      <c r="D30" s="23" t="s">
        <v>21</v>
      </c>
      <c r="E30" s="23" t="s">
        <v>32</v>
      </c>
      <c r="F30" s="23" t="s">
        <v>33</v>
      </c>
      <c r="G30" s="29" t="s">
        <v>34</v>
      </c>
      <c r="H30" s="36"/>
      <c r="L30" s="28" t="str">
        <f>IFERROR(__xludf.DUMMYFUNCTION("""COMPUTED_VALUE"""),"2026-03")</f>
        <v>2026-03</v>
      </c>
      <c r="M30" s="28">
        <f>IFERROR(__xludf.DUMMYFUNCTION("""COMPUTED_VALUE"""),35177.0)</f>
        <v>35177</v>
      </c>
      <c r="N30" s="28">
        <f>IFERROR(__xludf.DUMMYFUNCTION("""COMPUTED_VALUE"""),14346.0)</f>
        <v>14346</v>
      </c>
      <c r="O30" s="28">
        <f>IFERROR(__xludf.DUMMYFUNCTION("""COMPUTED_VALUE"""),6583.0)</f>
        <v>6583</v>
      </c>
      <c r="P30" s="28">
        <f>IFERROR(__xludf.DUMMYFUNCTION("""COMPUTED_VALUE"""),8453.0)</f>
        <v>8453</v>
      </c>
      <c r="Q30" s="28">
        <f>IFERROR(__xludf.DUMMYFUNCTION("""COMPUTED_VALUE"""),1081.0)</f>
        <v>1081</v>
      </c>
      <c r="R30" s="28">
        <f>IFERROR(__xludf.DUMMYFUNCTION("""COMPUTED_VALUE"""),0.0)</f>
        <v>0</v>
      </c>
      <c r="S30" s="28">
        <f>IFERROR(__xludf.DUMMYFUNCTION("""COMPUTED_VALUE"""),4714.0)</f>
        <v>4714</v>
      </c>
      <c r="T30" s="28">
        <f>IFERROR(__xludf.DUMMYFUNCTION("""COMPUTED_VALUE"""),0.0)</f>
        <v>0</v>
      </c>
      <c r="U30" s="28">
        <f>IFERROR(__xludf.DUMMYFUNCTION("""COMPUTED_VALUE"""),0.0)</f>
        <v>0</v>
      </c>
      <c r="V30" s="28">
        <f>IFERROR(__xludf.DUMMYFUNCTION("""COMPUTED_VALUE"""),2300.0)</f>
        <v>2300</v>
      </c>
      <c r="W30" s="28">
        <f>IFERROR(__xludf.DUMMYFUNCTION("""COMPUTED_VALUE"""),32877.0)</f>
        <v>32877</v>
      </c>
    </row>
    <row r="31" ht="15.75" customHeight="1">
      <c r="A31" s="35">
        <v>45644.0</v>
      </c>
      <c r="B31" s="23" t="s">
        <v>1</v>
      </c>
      <c r="C31" s="24">
        <v>20.0</v>
      </c>
      <c r="D31" s="23" t="s">
        <v>21</v>
      </c>
      <c r="E31" s="23" t="s">
        <v>18</v>
      </c>
      <c r="F31" s="23" t="s">
        <v>25</v>
      </c>
      <c r="G31" s="32"/>
      <c r="H31" s="30" t="s">
        <v>27</v>
      </c>
      <c r="L31" s="28" t="str">
        <f>IFERROR(__xludf.DUMMYFUNCTION("""COMPUTED_VALUE"""),"2026-04")</f>
        <v>2026-04</v>
      </c>
      <c r="M31" s="28">
        <f>IFERROR(__xludf.DUMMYFUNCTION("""COMPUTED_VALUE"""),46084.0)</f>
        <v>46084</v>
      </c>
      <c r="N31" s="28">
        <f>IFERROR(__xludf.DUMMYFUNCTION("""COMPUTED_VALUE"""),7699.0)</f>
        <v>7699</v>
      </c>
      <c r="O31" s="28">
        <f>IFERROR(__xludf.DUMMYFUNCTION("""COMPUTED_VALUE"""),5518.0)</f>
        <v>5518</v>
      </c>
      <c r="P31" s="28">
        <f>IFERROR(__xludf.DUMMYFUNCTION("""COMPUTED_VALUE"""),0.0)</f>
        <v>0</v>
      </c>
      <c r="Q31" s="28">
        <f>IFERROR(__xludf.DUMMYFUNCTION("""COMPUTED_VALUE"""),8263.0)</f>
        <v>8263</v>
      </c>
      <c r="R31" s="28">
        <f>IFERROR(__xludf.DUMMYFUNCTION("""COMPUTED_VALUE"""),9830.0)</f>
        <v>9830</v>
      </c>
      <c r="S31" s="28">
        <f>IFERROR(__xludf.DUMMYFUNCTION("""COMPUTED_VALUE"""),5871.0)</f>
        <v>5871</v>
      </c>
      <c r="T31" s="28">
        <f>IFERROR(__xludf.DUMMYFUNCTION("""COMPUTED_VALUE"""),8903.0)</f>
        <v>8903</v>
      </c>
      <c r="U31" s="28">
        <f>IFERROR(__xludf.DUMMYFUNCTION("""COMPUTED_VALUE"""),0.0)</f>
        <v>0</v>
      </c>
      <c r="V31" s="28">
        <f>IFERROR(__xludf.DUMMYFUNCTION("""COMPUTED_VALUE"""),1800.0)</f>
        <v>1800</v>
      </c>
      <c r="W31" s="28">
        <f>IFERROR(__xludf.DUMMYFUNCTION("""COMPUTED_VALUE"""),44284.0)</f>
        <v>44284</v>
      </c>
    </row>
    <row r="32" ht="15.75" customHeight="1">
      <c r="A32" s="35">
        <v>45523.0</v>
      </c>
      <c r="B32" s="23" t="s">
        <v>1</v>
      </c>
      <c r="C32" s="24">
        <v>46.0</v>
      </c>
      <c r="D32" s="23" t="s">
        <v>21</v>
      </c>
      <c r="E32" s="23" t="s">
        <v>18</v>
      </c>
      <c r="F32" s="37"/>
      <c r="G32" s="32"/>
      <c r="H32" s="30" t="s">
        <v>36</v>
      </c>
    </row>
    <row r="33" ht="15.75" customHeight="1">
      <c r="A33" s="35">
        <v>45524.0</v>
      </c>
      <c r="B33" s="23" t="s">
        <v>1</v>
      </c>
      <c r="C33" s="24">
        <v>1225.0</v>
      </c>
      <c r="D33" s="23" t="s">
        <v>21</v>
      </c>
      <c r="E33" s="23" t="s">
        <v>32</v>
      </c>
      <c r="F33" s="23" t="s">
        <v>33</v>
      </c>
      <c r="G33" s="29" t="s">
        <v>34</v>
      </c>
      <c r="H33" s="36"/>
    </row>
    <row r="34" ht="15.75" customHeight="1">
      <c r="A34" s="35">
        <v>45525.0</v>
      </c>
      <c r="B34" s="23" t="s">
        <v>1</v>
      </c>
      <c r="C34" s="24">
        <v>180.0</v>
      </c>
      <c r="D34" s="23" t="s">
        <v>21</v>
      </c>
      <c r="E34" s="23" t="s">
        <v>18</v>
      </c>
      <c r="F34" s="25"/>
      <c r="G34" s="32"/>
      <c r="H34" s="30" t="s">
        <v>37</v>
      </c>
    </row>
    <row r="35" ht="15.75" customHeight="1">
      <c r="A35" s="35">
        <v>45525.0</v>
      </c>
      <c r="B35" s="23" t="s">
        <v>1</v>
      </c>
      <c r="C35" s="24">
        <v>2500.0</v>
      </c>
      <c r="D35" s="23" t="s">
        <v>21</v>
      </c>
      <c r="E35" s="23" t="s">
        <v>32</v>
      </c>
      <c r="F35" s="23" t="s">
        <v>38</v>
      </c>
      <c r="G35" s="32"/>
      <c r="H35" s="30" t="s">
        <v>39</v>
      </c>
    </row>
    <row r="36" ht="15.75" customHeight="1">
      <c r="A36" s="35">
        <v>45528.0</v>
      </c>
      <c r="B36" s="23" t="s">
        <v>1</v>
      </c>
      <c r="C36" s="24">
        <v>50.0</v>
      </c>
      <c r="D36" s="23" t="s">
        <v>21</v>
      </c>
      <c r="E36" s="23" t="s">
        <v>18</v>
      </c>
      <c r="F36" s="25"/>
      <c r="G36" s="38"/>
      <c r="H36" s="36"/>
    </row>
    <row r="37" ht="15.75" customHeight="1">
      <c r="A37" s="35">
        <v>45528.0</v>
      </c>
      <c r="B37" s="23" t="s">
        <v>0</v>
      </c>
      <c r="C37" s="24">
        <v>50.0</v>
      </c>
      <c r="D37" s="23" t="s">
        <v>21</v>
      </c>
      <c r="E37" s="23" t="s">
        <v>32</v>
      </c>
      <c r="F37" s="25"/>
      <c r="G37" s="38"/>
      <c r="H37" s="36"/>
    </row>
    <row r="38" ht="15.75" customHeight="1">
      <c r="A38" s="35">
        <v>45528.0</v>
      </c>
      <c r="B38" s="23" t="s">
        <v>1</v>
      </c>
      <c r="C38" s="24">
        <v>40.0</v>
      </c>
      <c r="D38" s="23" t="s">
        <v>21</v>
      </c>
      <c r="E38" s="23" t="s">
        <v>18</v>
      </c>
      <c r="F38" s="23" t="s">
        <v>25</v>
      </c>
      <c r="G38" s="32"/>
      <c r="H38" s="30" t="s">
        <v>27</v>
      </c>
    </row>
    <row r="39" ht="15.75" customHeight="1">
      <c r="A39" s="35">
        <v>45530.0</v>
      </c>
      <c r="B39" s="23" t="s">
        <v>1</v>
      </c>
      <c r="C39" s="24">
        <v>1140.0</v>
      </c>
      <c r="D39" s="23" t="s">
        <v>21</v>
      </c>
      <c r="E39" s="23" t="s">
        <v>18</v>
      </c>
      <c r="F39" s="23" t="s">
        <v>25</v>
      </c>
      <c r="G39" s="32"/>
      <c r="H39" s="30" t="s">
        <v>40</v>
      </c>
    </row>
    <row r="40" ht="15.75" customHeight="1">
      <c r="A40" s="35">
        <v>45530.0</v>
      </c>
      <c r="B40" s="23" t="s">
        <v>1</v>
      </c>
      <c r="C40" s="24">
        <v>900.0</v>
      </c>
      <c r="D40" s="23" t="s">
        <v>21</v>
      </c>
      <c r="E40" s="23" t="s">
        <v>32</v>
      </c>
      <c r="F40" s="23" t="s">
        <v>33</v>
      </c>
      <c r="G40" s="29" t="s">
        <v>34</v>
      </c>
      <c r="H40" s="36"/>
    </row>
    <row r="41" ht="15.75" customHeight="1">
      <c r="A41" s="35">
        <v>45533.0</v>
      </c>
      <c r="B41" s="23" t="s">
        <v>1</v>
      </c>
      <c r="C41" s="24">
        <v>60.0</v>
      </c>
      <c r="D41" s="23" t="s">
        <v>21</v>
      </c>
      <c r="E41" s="23" t="s">
        <v>18</v>
      </c>
      <c r="F41" s="23" t="s">
        <v>25</v>
      </c>
      <c r="G41" s="32"/>
      <c r="H41" s="30" t="s">
        <v>27</v>
      </c>
    </row>
    <row r="42" ht="15.75" customHeight="1">
      <c r="A42" s="35">
        <v>45535.0</v>
      </c>
      <c r="B42" s="23" t="s">
        <v>1</v>
      </c>
      <c r="C42" s="24">
        <v>18.0</v>
      </c>
      <c r="D42" s="23" t="s">
        <v>21</v>
      </c>
      <c r="E42" s="23" t="s">
        <v>18</v>
      </c>
      <c r="F42" s="23" t="s">
        <v>25</v>
      </c>
      <c r="G42" s="32"/>
      <c r="H42" s="30" t="s">
        <v>27</v>
      </c>
    </row>
    <row r="43" ht="15.75" customHeight="1">
      <c r="A43" s="35">
        <v>45535.0</v>
      </c>
      <c r="B43" s="23" t="s">
        <v>1</v>
      </c>
      <c r="C43" s="24">
        <v>1158.0</v>
      </c>
      <c r="D43" s="23" t="s">
        <v>21</v>
      </c>
      <c r="E43" s="23" t="s">
        <v>32</v>
      </c>
      <c r="F43" s="23" t="s">
        <v>33</v>
      </c>
      <c r="G43" s="29" t="s">
        <v>34</v>
      </c>
      <c r="H43" s="36"/>
    </row>
    <row r="44" ht="15.75" customHeight="1">
      <c r="A44" s="35">
        <v>45535.0</v>
      </c>
      <c r="B44" s="23" t="s">
        <v>0</v>
      </c>
      <c r="C44" s="24">
        <v>15.0</v>
      </c>
      <c r="D44" s="23" t="s">
        <v>21</v>
      </c>
      <c r="E44" s="23" t="s">
        <v>32</v>
      </c>
      <c r="F44" s="25"/>
      <c r="G44" s="38"/>
      <c r="H44" s="36"/>
    </row>
    <row r="45" ht="15.75" customHeight="1">
      <c r="A45" s="35">
        <v>45535.0</v>
      </c>
      <c r="B45" s="23" t="s">
        <v>1</v>
      </c>
      <c r="C45" s="24">
        <v>15.0</v>
      </c>
      <c r="D45" s="23" t="s">
        <v>21</v>
      </c>
      <c r="E45" s="23" t="s">
        <v>18</v>
      </c>
      <c r="F45" s="25"/>
      <c r="G45" s="38"/>
      <c r="H45" s="36"/>
    </row>
    <row r="46" ht="15.75" customHeight="1">
      <c r="A46" s="35">
        <v>45536.0</v>
      </c>
      <c r="B46" s="23" t="s">
        <v>1</v>
      </c>
      <c r="C46" s="24">
        <v>190.0</v>
      </c>
      <c r="D46" s="23" t="s">
        <v>21</v>
      </c>
      <c r="E46" s="23" t="s">
        <v>18</v>
      </c>
      <c r="F46" s="25"/>
      <c r="G46" s="32"/>
      <c r="H46" s="30" t="s">
        <v>41</v>
      </c>
    </row>
    <row r="47" ht="15.75" customHeight="1">
      <c r="A47" s="35">
        <v>45536.0</v>
      </c>
      <c r="B47" s="23" t="s">
        <v>1</v>
      </c>
      <c r="C47" s="24">
        <v>827.0</v>
      </c>
      <c r="D47" s="23" t="s">
        <v>21</v>
      </c>
      <c r="E47" s="23" t="s">
        <v>18</v>
      </c>
      <c r="F47" s="23" t="s">
        <v>25</v>
      </c>
      <c r="G47" s="32"/>
      <c r="H47" s="30" t="s">
        <v>40</v>
      </c>
    </row>
    <row r="48" ht="15.75" customHeight="1">
      <c r="A48" s="35">
        <v>45537.0</v>
      </c>
      <c r="B48" s="23" t="s">
        <v>1</v>
      </c>
      <c r="C48" s="24">
        <v>40.0</v>
      </c>
      <c r="D48" s="23" t="s">
        <v>21</v>
      </c>
      <c r="E48" s="23" t="s">
        <v>18</v>
      </c>
      <c r="F48" s="23" t="s">
        <v>25</v>
      </c>
      <c r="G48" s="32"/>
      <c r="H48" s="30" t="s">
        <v>27</v>
      </c>
    </row>
    <row r="49" ht="15.75" customHeight="1">
      <c r="A49" s="35">
        <v>45539.0</v>
      </c>
      <c r="B49" s="23" t="s">
        <v>1</v>
      </c>
      <c r="C49" s="24">
        <v>1082.0</v>
      </c>
      <c r="D49" s="23" t="s">
        <v>21</v>
      </c>
      <c r="E49" s="23" t="s">
        <v>32</v>
      </c>
      <c r="F49" s="23" t="s">
        <v>33</v>
      </c>
      <c r="G49" s="29" t="s">
        <v>34</v>
      </c>
      <c r="H49" s="36"/>
    </row>
    <row r="50" ht="15.75" customHeight="1">
      <c r="A50" s="35">
        <v>45539.0</v>
      </c>
      <c r="B50" s="23" t="s">
        <v>1</v>
      </c>
      <c r="C50" s="24">
        <v>40.0</v>
      </c>
      <c r="D50" s="23" t="s">
        <v>21</v>
      </c>
      <c r="E50" s="23" t="s">
        <v>18</v>
      </c>
      <c r="F50" s="23" t="s">
        <v>25</v>
      </c>
      <c r="G50" s="32"/>
      <c r="H50" s="30" t="s">
        <v>27</v>
      </c>
    </row>
    <row r="51" ht="15.75" customHeight="1">
      <c r="A51" s="35">
        <v>45540.0</v>
      </c>
      <c r="B51" s="23" t="s">
        <v>1</v>
      </c>
      <c r="C51" s="24">
        <v>64.0</v>
      </c>
      <c r="D51" s="23" t="s">
        <v>21</v>
      </c>
      <c r="E51" s="23" t="s">
        <v>18</v>
      </c>
      <c r="F51" s="23" t="s">
        <v>25</v>
      </c>
      <c r="G51" s="32"/>
      <c r="H51" s="30" t="s">
        <v>27</v>
      </c>
    </row>
    <row r="52" ht="15.75" customHeight="1">
      <c r="A52" s="35">
        <v>45542.0</v>
      </c>
      <c r="B52" s="23" t="s">
        <v>1</v>
      </c>
      <c r="C52" s="24">
        <v>1574.0</v>
      </c>
      <c r="D52" s="23" t="s">
        <v>21</v>
      </c>
      <c r="E52" s="23" t="s">
        <v>18</v>
      </c>
      <c r="F52" s="23" t="s">
        <v>25</v>
      </c>
      <c r="G52" s="32"/>
      <c r="H52" s="30" t="s">
        <v>40</v>
      </c>
    </row>
    <row r="53" ht="15.75" customHeight="1">
      <c r="A53" s="35">
        <v>45542.0</v>
      </c>
      <c r="B53" s="23" t="s">
        <v>1</v>
      </c>
      <c r="C53" s="24">
        <v>20.0</v>
      </c>
      <c r="D53" s="23" t="s">
        <v>21</v>
      </c>
      <c r="E53" s="23" t="s">
        <v>18</v>
      </c>
      <c r="F53" s="23" t="s">
        <v>25</v>
      </c>
      <c r="G53" s="32"/>
      <c r="H53" s="30" t="s">
        <v>27</v>
      </c>
    </row>
    <row r="54" ht="15.75" customHeight="1">
      <c r="A54" s="35">
        <v>45543.0</v>
      </c>
      <c r="B54" s="23" t="s">
        <v>1</v>
      </c>
      <c r="C54" s="24">
        <v>40.0</v>
      </c>
      <c r="D54" s="23" t="s">
        <v>21</v>
      </c>
      <c r="E54" s="23" t="s">
        <v>18</v>
      </c>
      <c r="F54" s="23" t="s">
        <v>25</v>
      </c>
      <c r="G54" s="32"/>
      <c r="H54" s="30" t="s">
        <v>27</v>
      </c>
    </row>
    <row r="55" ht="15.75" customHeight="1">
      <c r="A55" s="35">
        <v>45544.0</v>
      </c>
      <c r="B55" s="23" t="s">
        <v>1</v>
      </c>
      <c r="C55" s="24">
        <v>1896.0</v>
      </c>
      <c r="D55" s="23" t="s">
        <v>21</v>
      </c>
      <c r="E55" s="23" t="s">
        <v>32</v>
      </c>
      <c r="F55" s="23" t="s">
        <v>33</v>
      </c>
      <c r="G55" s="29" t="s">
        <v>34</v>
      </c>
      <c r="H55" s="36"/>
    </row>
    <row r="56" ht="15.75" customHeight="1">
      <c r="A56" s="35">
        <v>45544.0</v>
      </c>
      <c r="B56" s="23" t="s">
        <v>1</v>
      </c>
      <c r="C56" s="24">
        <v>40.0</v>
      </c>
      <c r="D56" s="23" t="s">
        <v>21</v>
      </c>
      <c r="E56" s="23" t="s">
        <v>18</v>
      </c>
      <c r="F56" s="23" t="s">
        <v>25</v>
      </c>
      <c r="G56" s="32"/>
      <c r="H56" s="30" t="s">
        <v>27</v>
      </c>
    </row>
    <row r="57" ht="15.75" customHeight="1">
      <c r="A57" s="35">
        <v>45545.0</v>
      </c>
      <c r="B57" s="23" t="s">
        <v>1</v>
      </c>
      <c r="C57" s="24">
        <v>225.0</v>
      </c>
      <c r="D57" s="23" t="s">
        <v>21</v>
      </c>
      <c r="E57" s="23" t="s">
        <v>18</v>
      </c>
      <c r="F57" s="23" t="s">
        <v>25</v>
      </c>
      <c r="G57" s="38"/>
      <c r="H57" s="36"/>
    </row>
    <row r="58" ht="15.75" customHeight="1">
      <c r="A58" s="35">
        <v>45545.0</v>
      </c>
      <c r="B58" s="23" t="s">
        <v>1</v>
      </c>
      <c r="C58" s="24">
        <v>325.0</v>
      </c>
      <c r="D58" s="23" t="s">
        <v>21</v>
      </c>
      <c r="E58" s="23" t="s">
        <v>18</v>
      </c>
      <c r="F58" s="23" t="s">
        <v>25</v>
      </c>
      <c r="G58" s="38"/>
      <c r="H58" s="36"/>
    </row>
    <row r="59" ht="15.75" customHeight="1">
      <c r="A59" s="35">
        <v>45546.0</v>
      </c>
      <c r="B59" s="23" t="s">
        <v>1</v>
      </c>
      <c r="C59" s="24">
        <v>57.75</v>
      </c>
      <c r="D59" s="23" t="s">
        <v>21</v>
      </c>
      <c r="E59" s="23" t="s">
        <v>18</v>
      </c>
      <c r="F59" s="23" t="s">
        <v>25</v>
      </c>
      <c r="G59" s="32"/>
      <c r="H59" s="30" t="s">
        <v>27</v>
      </c>
    </row>
    <row r="60" ht="15.75" customHeight="1">
      <c r="A60" s="35">
        <v>45547.0</v>
      </c>
      <c r="B60" s="23" t="s">
        <v>1</v>
      </c>
      <c r="C60" s="24">
        <v>1134.0</v>
      </c>
      <c r="D60" s="23" t="s">
        <v>21</v>
      </c>
      <c r="E60" s="23" t="s">
        <v>32</v>
      </c>
      <c r="F60" s="23" t="s">
        <v>33</v>
      </c>
      <c r="G60" s="29" t="s">
        <v>34</v>
      </c>
      <c r="H60" s="36"/>
    </row>
    <row r="61" ht="15.75" customHeight="1">
      <c r="A61" s="35">
        <v>45547.0</v>
      </c>
      <c r="B61" s="23" t="s">
        <v>1</v>
      </c>
      <c r="C61" s="24">
        <v>446.0</v>
      </c>
      <c r="D61" s="23" t="s">
        <v>21</v>
      </c>
      <c r="E61" s="23" t="s">
        <v>18</v>
      </c>
      <c r="F61" s="23" t="s">
        <v>25</v>
      </c>
      <c r="G61" s="38"/>
      <c r="H61" s="36"/>
    </row>
    <row r="62" ht="15.75" customHeight="1">
      <c r="A62" s="35">
        <v>45546.0</v>
      </c>
      <c r="B62" s="23" t="s">
        <v>1</v>
      </c>
      <c r="C62" s="24">
        <v>61.0</v>
      </c>
      <c r="D62" s="23" t="s">
        <v>21</v>
      </c>
      <c r="E62" s="23" t="s">
        <v>18</v>
      </c>
      <c r="F62" s="23" t="s">
        <v>25</v>
      </c>
      <c r="G62" s="38"/>
      <c r="H62" s="36"/>
    </row>
    <row r="63" ht="15.75" customHeight="1">
      <c r="A63" s="35">
        <v>45547.0</v>
      </c>
      <c r="B63" s="23" t="s">
        <v>1</v>
      </c>
      <c r="C63" s="24">
        <v>72.0</v>
      </c>
      <c r="D63" s="23" t="s">
        <v>21</v>
      </c>
      <c r="E63" s="23" t="s">
        <v>18</v>
      </c>
      <c r="F63" s="23" t="s">
        <v>25</v>
      </c>
      <c r="G63" s="32"/>
      <c r="H63" s="30" t="s">
        <v>27</v>
      </c>
    </row>
    <row r="64" ht="15.75" customHeight="1">
      <c r="A64" s="35">
        <v>45549.0</v>
      </c>
      <c r="B64" s="23" t="s">
        <v>1</v>
      </c>
      <c r="C64" s="24">
        <v>177.0</v>
      </c>
      <c r="D64" s="23" t="s">
        <v>21</v>
      </c>
      <c r="E64" s="23" t="s">
        <v>18</v>
      </c>
      <c r="F64" s="23" t="s">
        <v>25</v>
      </c>
      <c r="G64" s="38"/>
      <c r="H64" s="36"/>
    </row>
    <row r="65" ht="15.75" customHeight="1">
      <c r="A65" s="35">
        <v>45550.0</v>
      </c>
      <c r="B65" s="23" t="s">
        <v>1</v>
      </c>
      <c r="C65" s="24">
        <v>1280.0</v>
      </c>
      <c r="D65" s="23" t="s">
        <v>21</v>
      </c>
      <c r="E65" s="23" t="s">
        <v>32</v>
      </c>
      <c r="F65" s="23" t="s">
        <v>33</v>
      </c>
      <c r="G65" s="29" t="s">
        <v>34</v>
      </c>
      <c r="H65" s="36"/>
    </row>
    <row r="66" ht="15.75" customHeight="1">
      <c r="A66" s="35">
        <v>45551.0</v>
      </c>
      <c r="B66" s="23" t="s">
        <v>1</v>
      </c>
      <c r="C66" s="24">
        <v>72.0</v>
      </c>
      <c r="D66" s="23" t="s">
        <v>21</v>
      </c>
      <c r="E66" s="23" t="s">
        <v>18</v>
      </c>
      <c r="F66" s="23" t="s">
        <v>25</v>
      </c>
      <c r="G66" s="32"/>
      <c r="H66" s="30" t="s">
        <v>27</v>
      </c>
    </row>
    <row r="67" ht="15.75" customHeight="1">
      <c r="A67" s="35">
        <v>45551.0</v>
      </c>
      <c r="B67" s="23" t="s">
        <v>1</v>
      </c>
      <c r="C67" s="24">
        <v>585.0</v>
      </c>
      <c r="D67" s="23" t="s">
        <v>21</v>
      </c>
      <c r="E67" s="23" t="s">
        <v>32</v>
      </c>
      <c r="F67" s="23" t="s">
        <v>33</v>
      </c>
      <c r="G67" s="29" t="s">
        <v>34</v>
      </c>
      <c r="H67" s="36"/>
    </row>
    <row r="68" ht="15.75" customHeight="1">
      <c r="A68" s="35">
        <v>45551.0</v>
      </c>
      <c r="B68" s="23" t="s">
        <v>1</v>
      </c>
      <c r="C68" s="24">
        <v>164.0</v>
      </c>
      <c r="D68" s="23" t="s">
        <v>21</v>
      </c>
      <c r="E68" s="23" t="s">
        <v>18</v>
      </c>
      <c r="F68" s="23" t="s">
        <v>25</v>
      </c>
      <c r="G68" s="38"/>
      <c r="H68" s="36"/>
    </row>
    <row r="69" ht="15.75" customHeight="1">
      <c r="A69" s="35">
        <v>45553.0</v>
      </c>
      <c r="B69" s="23" t="s">
        <v>1</v>
      </c>
      <c r="C69" s="24">
        <v>718.0</v>
      </c>
      <c r="D69" s="23" t="s">
        <v>21</v>
      </c>
      <c r="E69" s="23" t="s">
        <v>18</v>
      </c>
      <c r="F69" s="23" t="s">
        <v>25</v>
      </c>
      <c r="G69" s="38"/>
      <c r="H69" s="36"/>
    </row>
    <row r="70" ht="15.75" customHeight="1">
      <c r="A70" s="35">
        <v>45554.0</v>
      </c>
      <c r="B70" s="23" t="s">
        <v>1</v>
      </c>
      <c r="C70" s="24">
        <v>792.0</v>
      </c>
      <c r="D70" s="23" t="s">
        <v>21</v>
      </c>
      <c r="E70" s="23" t="s">
        <v>32</v>
      </c>
      <c r="F70" s="23" t="s">
        <v>33</v>
      </c>
      <c r="G70" s="29" t="s">
        <v>34</v>
      </c>
      <c r="H70" s="36"/>
    </row>
    <row r="71" ht="15.75" customHeight="1">
      <c r="A71" s="35">
        <v>45554.0</v>
      </c>
      <c r="B71" s="23"/>
      <c r="C71" s="24"/>
      <c r="D71" s="37"/>
      <c r="E71" s="37"/>
      <c r="F71" s="37"/>
      <c r="G71" s="38"/>
      <c r="H71" s="36"/>
    </row>
    <row r="72" ht="15.75" customHeight="1">
      <c r="A72" s="35"/>
      <c r="B72" s="23"/>
      <c r="C72" s="24"/>
      <c r="D72" s="37"/>
      <c r="E72" s="37"/>
      <c r="F72" s="25"/>
      <c r="G72" s="32"/>
      <c r="H72" s="30"/>
    </row>
    <row r="73" ht="15.75" customHeight="1">
      <c r="A73" s="35">
        <v>45556.0</v>
      </c>
      <c r="B73" s="23" t="s">
        <v>1</v>
      </c>
      <c r="C73" s="39">
        <v>1144.0</v>
      </c>
      <c r="D73" s="23" t="s">
        <v>21</v>
      </c>
      <c r="E73" s="23" t="s">
        <v>32</v>
      </c>
      <c r="F73" s="23" t="s">
        <v>33</v>
      </c>
      <c r="G73" s="29" t="s">
        <v>34</v>
      </c>
      <c r="H73" s="36"/>
    </row>
    <row r="74" ht="15.75" customHeight="1">
      <c r="A74" s="35">
        <v>45556.0</v>
      </c>
      <c r="B74" s="23" t="s">
        <v>1</v>
      </c>
      <c r="C74" s="24">
        <v>51.0</v>
      </c>
      <c r="D74" s="23" t="s">
        <v>21</v>
      </c>
      <c r="E74" s="23" t="s">
        <v>18</v>
      </c>
      <c r="F74" s="23" t="s">
        <v>25</v>
      </c>
      <c r="G74" s="32"/>
      <c r="H74" s="30" t="s">
        <v>27</v>
      </c>
    </row>
    <row r="75" ht="15.75" customHeight="1">
      <c r="A75" s="35">
        <v>45557.0</v>
      </c>
      <c r="B75" s="23" t="s">
        <v>1</v>
      </c>
      <c r="C75" s="40">
        <v>540.0</v>
      </c>
      <c r="D75" s="23" t="s">
        <v>21</v>
      </c>
      <c r="E75" s="23" t="s">
        <v>18</v>
      </c>
      <c r="F75" s="23" t="s">
        <v>25</v>
      </c>
      <c r="G75" s="38"/>
      <c r="H75" s="36"/>
    </row>
    <row r="76" ht="15.75" customHeight="1">
      <c r="A76" s="35">
        <v>45556.0</v>
      </c>
      <c r="B76" s="23" t="s">
        <v>1</v>
      </c>
      <c r="C76" s="24">
        <v>101.0</v>
      </c>
      <c r="D76" s="23" t="s">
        <v>21</v>
      </c>
      <c r="E76" s="23" t="s">
        <v>18</v>
      </c>
      <c r="F76" s="23" t="s">
        <v>25</v>
      </c>
      <c r="G76" s="38"/>
      <c r="H76" s="36"/>
    </row>
    <row r="77" ht="15.75" customHeight="1">
      <c r="A77" s="35">
        <v>45560.0</v>
      </c>
      <c r="B77" s="23" t="s">
        <v>1</v>
      </c>
      <c r="C77" s="24">
        <v>87.0</v>
      </c>
      <c r="D77" s="23" t="s">
        <v>21</v>
      </c>
      <c r="E77" s="23" t="s">
        <v>18</v>
      </c>
      <c r="F77" s="23" t="s">
        <v>25</v>
      </c>
      <c r="G77" s="38"/>
      <c r="H77" s="36"/>
    </row>
    <row r="78" ht="15.75" customHeight="1">
      <c r="A78" s="35">
        <v>45561.0</v>
      </c>
      <c r="B78" s="23" t="s">
        <v>1</v>
      </c>
      <c r="C78" s="24">
        <v>50.5</v>
      </c>
      <c r="D78" s="23" t="s">
        <v>21</v>
      </c>
      <c r="E78" s="23" t="s">
        <v>18</v>
      </c>
      <c r="F78" s="23" t="s">
        <v>25</v>
      </c>
      <c r="G78" s="32"/>
      <c r="H78" s="30" t="s">
        <v>27</v>
      </c>
    </row>
    <row r="79" ht="15.75" customHeight="1">
      <c r="A79" s="35">
        <v>45561.0</v>
      </c>
      <c r="B79" s="23" t="s">
        <v>1</v>
      </c>
      <c r="C79" s="24">
        <v>1311.0</v>
      </c>
      <c r="D79" s="23" t="s">
        <v>21</v>
      </c>
      <c r="E79" s="23" t="s">
        <v>32</v>
      </c>
      <c r="F79" s="23" t="s">
        <v>33</v>
      </c>
      <c r="G79" s="29" t="s">
        <v>34</v>
      </c>
      <c r="H79" s="36"/>
    </row>
    <row r="80" ht="15.75" customHeight="1">
      <c r="A80" s="35">
        <v>45563.0</v>
      </c>
      <c r="B80" s="23" t="s">
        <v>1</v>
      </c>
      <c r="C80" s="24">
        <v>960.0</v>
      </c>
      <c r="D80" s="23" t="s">
        <v>21</v>
      </c>
      <c r="E80" s="23" t="s">
        <v>18</v>
      </c>
      <c r="F80" s="23" t="s">
        <v>25</v>
      </c>
      <c r="G80" s="38"/>
      <c r="H80" s="36"/>
    </row>
    <row r="81" ht="15.75" customHeight="1">
      <c r="A81" s="35">
        <v>45563.0</v>
      </c>
      <c r="B81" s="23" t="s">
        <v>1</v>
      </c>
      <c r="C81" s="24">
        <v>49.0</v>
      </c>
      <c r="D81" s="23" t="s">
        <v>21</v>
      </c>
      <c r="E81" s="23" t="s">
        <v>18</v>
      </c>
      <c r="F81" s="23" t="s">
        <v>25</v>
      </c>
      <c r="G81" s="32"/>
      <c r="H81" s="30" t="s">
        <v>27</v>
      </c>
    </row>
    <row r="82" ht="15.75" customHeight="1">
      <c r="A82" s="35">
        <v>45562.0</v>
      </c>
      <c r="B82" s="23" t="s">
        <v>1</v>
      </c>
      <c r="C82" s="24">
        <v>80.0</v>
      </c>
      <c r="D82" s="23" t="s">
        <v>21</v>
      </c>
      <c r="E82" s="23" t="s">
        <v>18</v>
      </c>
      <c r="F82" s="25"/>
      <c r="G82" s="32"/>
      <c r="H82" s="30" t="s">
        <v>42</v>
      </c>
    </row>
    <row r="83" ht="15.75" customHeight="1">
      <c r="A83" s="35">
        <v>45566.0</v>
      </c>
      <c r="B83" s="23" t="s">
        <v>0</v>
      </c>
      <c r="C83" s="24">
        <v>375.0</v>
      </c>
      <c r="D83" s="23" t="s">
        <v>21</v>
      </c>
      <c r="E83" s="23" t="s">
        <v>18</v>
      </c>
      <c r="F83" s="25"/>
      <c r="G83" s="32"/>
      <c r="H83" s="30" t="s">
        <v>43</v>
      </c>
    </row>
    <row r="84" ht="15.75" customHeight="1">
      <c r="A84" s="35"/>
      <c r="B84" s="23" t="s">
        <v>1</v>
      </c>
      <c r="C84" s="24">
        <v>100.0</v>
      </c>
      <c r="D84" s="23" t="s">
        <v>21</v>
      </c>
      <c r="E84" s="23" t="s">
        <v>18</v>
      </c>
      <c r="F84" s="23" t="s">
        <v>0</v>
      </c>
      <c r="G84" s="32"/>
      <c r="H84" s="30"/>
    </row>
    <row r="85" ht="15.75" customHeight="1">
      <c r="A85" s="35"/>
      <c r="B85" s="23" t="s">
        <v>0</v>
      </c>
      <c r="C85" s="24">
        <v>100.0</v>
      </c>
      <c r="D85" s="23" t="s">
        <v>21</v>
      </c>
      <c r="E85" s="23" t="s">
        <v>32</v>
      </c>
      <c r="F85" s="23" t="s">
        <v>44</v>
      </c>
      <c r="G85" s="32"/>
      <c r="H85" s="30"/>
    </row>
    <row r="86" ht="15.75" customHeight="1">
      <c r="A86" s="35">
        <v>45567.0</v>
      </c>
      <c r="B86" s="23" t="s">
        <v>0</v>
      </c>
      <c r="C86" s="24">
        <v>1500.0</v>
      </c>
      <c r="D86" s="23" t="s">
        <v>21</v>
      </c>
      <c r="E86" s="23" t="s">
        <v>18</v>
      </c>
      <c r="F86" s="25"/>
      <c r="G86" s="32"/>
      <c r="H86" s="30" t="s">
        <v>45</v>
      </c>
    </row>
    <row r="87" ht="15.75" customHeight="1">
      <c r="A87" s="35">
        <v>45565.0</v>
      </c>
      <c r="B87" s="23" t="s">
        <v>1</v>
      </c>
      <c r="C87" s="24">
        <v>935.0</v>
      </c>
      <c r="D87" s="23" t="s">
        <v>21</v>
      </c>
      <c r="E87" s="23" t="s">
        <v>32</v>
      </c>
      <c r="F87" s="23" t="s">
        <v>33</v>
      </c>
      <c r="G87" s="29" t="s">
        <v>34</v>
      </c>
      <c r="H87" s="36"/>
    </row>
    <row r="88" ht="15.75" customHeight="1">
      <c r="A88" s="35">
        <v>45625.0</v>
      </c>
      <c r="B88" s="23" t="s">
        <v>1</v>
      </c>
      <c r="C88" s="24">
        <v>836.0</v>
      </c>
      <c r="D88" s="23" t="s">
        <v>21</v>
      </c>
      <c r="E88" s="23" t="s">
        <v>32</v>
      </c>
      <c r="F88" s="23" t="s">
        <v>33</v>
      </c>
      <c r="G88" s="29" t="s">
        <v>34</v>
      </c>
      <c r="H88" s="36"/>
    </row>
    <row r="89" ht="15.75" customHeight="1">
      <c r="A89" s="35">
        <v>45625.0</v>
      </c>
      <c r="B89" s="23" t="s">
        <v>1</v>
      </c>
      <c r="C89" s="24">
        <v>70.0</v>
      </c>
      <c r="D89" s="23" t="s">
        <v>21</v>
      </c>
      <c r="E89" s="23" t="s">
        <v>18</v>
      </c>
      <c r="F89" s="25"/>
      <c r="G89" s="31"/>
      <c r="H89" s="41" t="s">
        <v>46</v>
      </c>
    </row>
    <row r="90" ht="15.75" customHeight="1">
      <c r="A90" s="35">
        <v>45625.0</v>
      </c>
      <c r="B90" s="23" t="s">
        <v>1</v>
      </c>
      <c r="C90" s="24">
        <v>65.0</v>
      </c>
      <c r="D90" s="23" t="s">
        <v>21</v>
      </c>
      <c r="E90" s="23" t="s">
        <v>18</v>
      </c>
      <c r="F90" s="23" t="s">
        <v>25</v>
      </c>
      <c r="G90" s="32"/>
      <c r="H90" s="30" t="s">
        <v>47</v>
      </c>
    </row>
    <row r="91" ht="15.75" customHeight="1">
      <c r="A91" s="35">
        <v>45626.0</v>
      </c>
      <c r="B91" s="23" t="s">
        <v>1</v>
      </c>
      <c r="C91" s="24">
        <v>1029.0</v>
      </c>
      <c r="D91" s="23" t="s">
        <v>21</v>
      </c>
      <c r="E91" s="23" t="s">
        <v>18</v>
      </c>
      <c r="F91" s="23" t="s">
        <v>25</v>
      </c>
      <c r="G91" s="38"/>
      <c r="H91" s="36"/>
    </row>
    <row r="92" ht="15.75" customHeight="1">
      <c r="A92" s="35">
        <v>45629.0</v>
      </c>
      <c r="B92" s="23" t="s">
        <v>1</v>
      </c>
      <c r="C92" s="24">
        <v>50.0</v>
      </c>
      <c r="D92" s="23" t="s">
        <v>21</v>
      </c>
      <c r="E92" s="23" t="s">
        <v>18</v>
      </c>
      <c r="F92" s="25"/>
      <c r="G92" s="32"/>
      <c r="H92" s="30" t="s">
        <v>48</v>
      </c>
    </row>
    <row r="93" ht="15.75" customHeight="1">
      <c r="A93" s="35">
        <v>45631.0</v>
      </c>
      <c r="B93" s="23" t="s">
        <v>1</v>
      </c>
      <c r="C93" s="24">
        <v>850.0</v>
      </c>
      <c r="D93" s="23" t="s">
        <v>21</v>
      </c>
      <c r="E93" s="23" t="s">
        <v>18</v>
      </c>
      <c r="F93" s="23" t="s">
        <v>25</v>
      </c>
      <c r="G93" s="32"/>
      <c r="H93" s="30" t="s">
        <v>49</v>
      </c>
    </row>
    <row r="94" ht="15.75" customHeight="1">
      <c r="A94" s="35">
        <v>45627.0</v>
      </c>
      <c r="B94" s="23" t="s">
        <v>0</v>
      </c>
      <c r="C94" s="24">
        <v>1800.0</v>
      </c>
      <c r="D94" s="23" t="s">
        <v>17</v>
      </c>
      <c r="E94" s="23" t="s">
        <v>32</v>
      </c>
      <c r="F94" s="25"/>
      <c r="G94" s="32"/>
      <c r="H94" s="30" t="s">
        <v>50</v>
      </c>
    </row>
    <row r="95" ht="15.75" customHeight="1">
      <c r="A95" s="35">
        <v>45635.0</v>
      </c>
      <c r="B95" s="23" t="s">
        <v>1</v>
      </c>
      <c r="C95" s="24">
        <v>1111.0</v>
      </c>
      <c r="D95" s="23" t="s">
        <v>21</v>
      </c>
      <c r="E95" s="23" t="s">
        <v>32</v>
      </c>
      <c r="F95" s="23" t="s">
        <v>33</v>
      </c>
      <c r="G95" s="29" t="s">
        <v>34</v>
      </c>
      <c r="H95" s="36"/>
    </row>
    <row r="96" ht="15.75" customHeight="1">
      <c r="A96" s="35">
        <v>45636.0</v>
      </c>
      <c r="B96" s="23" t="s">
        <v>1</v>
      </c>
      <c r="C96" s="24">
        <v>455.0</v>
      </c>
      <c r="D96" s="23" t="s">
        <v>21</v>
      </c>
      <c r="E96" s="23" t="s">
        <v>18</v>
      </c>
      <c r="F96" s="37"/>
      <c r="G96" s="42"/>
      <c r="H96" s="43" t="s">
        <v>51</v>
      </c>
    </row>
    <row r="97" ht="15.75" customHeight="1">
      <c r="A97" s="35">
        <v>45637.0</v>
      </c>
      <c r="B97" s="23" t="s">
        <v>0</v>
      </c>
      <c r="C97" s="24">
        <v>9000.0</v>
      </c>
      <c r="D97" s="23" t="s">
        <v>21</v>
      </c>
      <c r="E97" s="23" t="s">
        <v>32</v>
      </c>
      <c r="F97" s="25"/>
      <c r="G97" s="32"/>
      <c r="H97" s="30" t="s">
        <v>52</v>
      </c>
    </row>
    <row r="98" ht="15.75" customHeight="1">
      <c r="A98" s="35">
        <v>45640.0</v>
      </c>
      <c r="B98" s="23" t="s">
        <v>1</v>
      </c>
      <c r="C98" s="24">
        <v>980.0</v>
      </c>
      <c r="D98" s="23" t="s">
        <v>21</v>
      </c>
      <c r="E98" s="23" t="s">
        <v>32</v>
      </c>
      <c r="F98" s="23" t="s">
        <v>33</v>
      </c>
      <c r="G98" s="29" t="s">
        <v>34</v>
      </c>
      <c r="H98" s="36"/>
    </row>
    <row r="99" ht="15.75" customHeight="1">
      <c r="A99" s="22"/>
      <c r="B99" s="25"/>
      <c r="C99" s="44"/>
      <c r="D99" s="25"/>
      <c r="E99" s="37"/>
      <c r="F99" s="25"/>
      <c r="G99" s="38"/>
      <c r="H99" s="36"/>
    </row>
    <row r="100" ht="15.75" customHeight="1">
      <c r="A100" s="35">
        <v>45641.0</v>
      </c>
      <c r="B100" s="23" t="s">
        <v>1</v>
      </c>
      <c r="C100" s="24">
        <v>2500.0</v>
      </c>
      <c r="D100" s="23" t="s">
        <v>21</v>
      </c>
      <c r="E100" s="23" t="s">
        <v>32</v>
      </c>
      <c r="F100" s="23" t="s">
        <v>38</v>
      </c>
      <c r="G100" s="32"/>
      <c r="H100" s="30" t="s">
        <v>53</v>
      </c>
    </row>
    <row r="101" ht="15.75" customHeight="1">
      <c r="A101" s="35">
        <v>45643.0</v>
      </c>
      <c r="B101" s="23" t="s">
        <v>1</v>
      </c>
      <c r="C101" s="24">
        <v>1097.0</v>
      </c>
      <c r="D101" s="23" t="s">
        <v>21</v>
      </c>
      <c r="E101" s="23" t="s">
        <v>18</v>
      </c>
      <c r="F101" s="23" t="s">
        <v>25</v>
      </c>
      <c r="G101" s="38"/>
      <c r="H101" s="36"/>
    </row>
    <row r="102" ht="15.75" customHeight="1">
      <c r="A102" s="35">
        <v>45645.0</v>
      </c>
      <c r="B102" s="23" t="s">
        <v>1</v>
      </c>
      <c r="C102" s="24">
        <v>1600.0</v>
      </c>
      <c r="D102" s="23" t="s">
        <v>21</v>
      </c>
      <c r="E102" s="23" t="s">
        <v>32</v>
      </c>
      <c r="F102" s="23" t="s">
        <v>33</v>
      </c>
      <c r="G102" s="29" t="s">
        <v>34</v>
      </c>
      <c r="H102" s="36"/>
    </row>
    <row r="103" ht="15.75" customHeight="1">
      <c r="A103" s="35">
        <v>45645.0</v>
      </c>
      <c r="B103" s="23" t="s">
        <v>1</v>
      </c>
      <c r="C103" s="24">
        <v>1223.0</v>
      </c>
      <c r="D103" s="23" t="s">
        <v>21</v>
      </c>
      <c r="E103" s="23" t="s">
        <v>18</v>
      </c>
      <c r="F103" s="23" t="s">
        <v>25</v>
      </c>
      <c r="G103" s="38"/>
      <c r="H103" s="36"/>
    </row>
    <row r="104" ht="15.75" customHeight="1">
      <c r="A104" s="35">
        <v>45648.0</v>
      </c>
      <c r="B104" s="23" t="s">
        <v>1</v>
      </c>
      <c r="C104" s="24">
        <v>1140.0</v>
      </c>
      <c r="D104" s="23" t="s">
        <v>21</v>
      </c>
      <c r="E104" s="23" t="s">
        <v>32</v>
      </c>
      <c r="F104" s="23" t="s">
        <v>33</v>
      </c>
      <c r="G104" s="29" t="s">
        <v>34</v>
      </c>
      <c r="H104" s="36"/>
    </row>
    <row r="105" ht="15.75" customHeight="1">
      <c r="A105" s="35">
        <v>45654.0</v>
      </c>
      <c r="B105" s="23" t="s">
        <v>1</v>
      </c>
      <c r="C105" s="24">
        <v>150.0</v>
      </c>
      <c r="D105" s="23" t="s">
        <v>21</v>
      </c>
      <c r="E105" s="23" t="s">
        <v>18</v>
      </c>
      <c r="F105" s="25"/>
      <c r="G105" s="32"/>
      <c r="H105" s="30" t="s">
        <v>54</v>
      </c>
    </row>
    <row r="106" ht="15.75" customHeight="1">
      <c r="A106" s="35">
        <v>45654.0</v>
      </c>
      <c r="B106" s="23" t="s">
        <v>1</v>
      </c>
      <c r="C106" s="24">
        <v>60.0</v>
      </c>
      <c r="D106" s="23" t="s">
        <v>21</v>
      </c>
      <c r="E106" s="23" t="s">
        <v>18</v>
      </c>
      <c r="F106" s="25"/>
      <c r="G106" s="32"/>
      <c r="H106" s="30" t="s">
        <v>55</v>
      </c>
    </row>
    <row r="107" ht="15.75" customHeight="1">
      <c r="A107" s="35">
        <v>45659.0</v>
      </c>
      <c r="B107" s="23" t="s">
        <v>1</v>
      </c>
      <c r="C107" s="24">
        <v>1047.0</v>
      </c>
      <c r="D107" s="23" t="s">
        <v>21</v>
      </c>
      <c r="E107" s="23" t="s">
        <v>32</v>
      </c>
      <c r="F107" s="23" t="s">
        <v>33</v>
      </c>
      <c r="G107" s="29" t="s">
        <v>34</v>
      </c>
      <c r="H107" s="36"/>
    </row>
    <row r="108" ht="15.75" customHeight="1">
      <c r="A108" s="35">
        <v>45659.0</v>
      </c>
      <c r="B108" s="23" t="s">
        <v>1</v>
      </c>
      <c r="C108" s="24">
        <v>769.0</v>
      </c>
      <c r="D108" s="23" t="s">
        <v>21</v>
      </c>
      <c r="E108" s="23" t="s">
        <v>18</v>
      </c>
      <c r="F108" s="23" t="s">
        <v>25</v>
      </c>
      <c r="G108" s="38"/>
      <c r="H108" s="36"/>
    </row>
    <row r="109" ht="15.75" customHeight="1">
      <c r="A109" s="35">
        <v>45662.0</v>
      </c>
      <c r="B109" s="23" t="s">
        <v>1</v>
      </c>
      <c r="C109" s="24">
        <v>1189.0</v>
      </c>
      <c r="D109" s="23" t="s">
        <v>21</v>
      </c>
      <c r="E109" s="23" t="s">
        <v>32</v>
      </c>
      <c r="F109" s="23" t="s">
        <v>33</v>
      </c>
      <c r="G109" s="29" t="s">
        <v>34</v>
      </c>
      <c r="H109" s="36"/>
    </row>
    <row r="110" ht="15.75" customHeight="1">
      <c r="A110" s="35">
        <v>45662.0</v>
      </c>
      <c r="B110" s="23" t="s">
        <v>1</v>
      </c>
      <c r="C110" s="24">
        <v>221.0</v>
      </c>
      <c r="D110" s="23" t="s">
        <v>21</v>
      </c>
      <c r="E110" s="23" t="s">
        <v>18</v>
      </c>
      <c r="F110" s="23" t="s">
        <v>25</v>
      </c>
      <c r="G110" s="38"/>
      <c r="H110" s="36"/>
    </row>
    <row r="111" ht="15.75" customHeight="1">
      <c r="A111" s="35">
        <v>45663.0</v>
      </c>
      <c r="B111" s="23" t="s">
        <v>1</v>
      </c>
      <c r="C111" s="24">
        <v>640.0</v>
      </c>
      <c r="D111" s="23" t="s">
        <v>21</v>
      </c>
      <c r="E111" s="23" t="s">
        <v>18</v>
      </c>
      <c r="F111" s="23" t="s">
        <v>25</v>
      </c>
      <c r="G111" s="38"/>
      <c r="H111" s="36"/>
    </row>
    <row r="112" ht="15.75" customHeight="1">
      <c r="A112" s="35">
        <v>45665.0</v>
      </c>
      <c r="B112" s="23" t="s">
        <v>0</v>
      </c>
      <c r="C112" s="24">
        <v>782.0</v>
      </c>
      <c r="D112" s="23" t="s">
        <v>21</v>
      </c>
      <c r="E112" s="23" t="s">
        <v>18</v>
      </c>
      <c r="F112" s="23" t="s">
        <v>25</v>
      </c>
      <c r="G112" s="38"/>
      <c r="H112" s="36"/>
    </row>
    <row r="113" ht="15.75" customHeight="1">
      <c r="A113" s="35">
        <v>45665.0</v>
      </c>
      <c r="B113" s="23" t="s">
        <v>1</v>
      </c>
      <c r="C113" s="24">
        <v>1768.0</v>
      </c>
      <c r="D113" s="23" t="s">
        <v>21</v>
      </c>
      <c r="E113" s="23" t="s">
        <v>32</v>
      </c>
      <c r="F113" s="23" t="s">
        <v>33</v>
      </c>
      <c r="G113" s="29" t="s">
        <v>34</v>
      </c>
      <c r="H113" s="36"/>
    </row>
    <row r="114" ht="15.75" customHeight="1">
      <c r="A114" s="35">
        <v>45666.0</v>
      </c>
      <c r="B114" s="23" t="s">
        <v>0</v>
      </c>
      <c r="C114" s="24">
        <v>1206.0</v>
      </c>
      <c r="D114" s="23" t="s">
        <v>21</v>
      </c>
      <c r="E114" s="23" t="s">
        <v>18</v>
      </c>
      <c r="F114" s="23" t="s">
        <v>25</v>
      </c>
      <c r="G114" s="38"/>
      <c r="H114" s="36"/>
    </row>
    <row r="115" ht="15.75" customHeight="1">
      <c r="A115" s="35">
        <v>45666.0</v>
      </c>
      <c r="B115" s="23" t="s">
        <v>1</v>
      </c>
      <c r="C115" s="24">
        <v>1947.0</v>
      </c>
      <c r="D115" s="23" t="s">
        <v>21</v>
      </c>
      <c r="E115" s="23" t="s">
        <v>32</v>
      </c>
      <c r="F115" s="23" t="s">
        <v>33</v>
      </c>
      <c r="G115" s="29" t="s">
        <v>34</v>
      </c>
      <c r="H115" s="36"/>
    </row>
    <row r="116" ht="15.75" customHeight="1">
      <c r="A116" s="35">
        <v>45668.0</v>
      </c>
      <c r="B116" s="23" t="s">
        <v>1</v>
      </c>
      <c r="C116" s="24">
        <v>1191.0</v>
      </c>
      <c r="D116" s="23" t="s">
        <v>21</v>
      </c>
      <c r="E116" s="23" t="s">
        <v>32</v>
      </c>
      <c r="F116" s="23" t="s">
        <v>33</v>
      </c>
      <c r="G116" s="29" t="s">
        <v>34</v>
      </c>
      <c r="H116" s="36"/>
    </row>
    <row r="117" ht="15.75" customHeight="1">
      <c r="A117" s="35">
        <v>45668.0</v>
      </c>
      <c r="B117" s="23" t="s">
        <v>0</v>
      </c>
      <c r="C117" s="24">
        <v>525.0</v>
      </c>
      <c r="D117" s="23" t="s">
        <v>21</v>
      </c>
      <c r="E117" s="23" t="s">
        <v>18</v>
      </c>
      <c r="F117" s="23" t="s">
        <v>25</v>
      </c>
      <c r="G117" s="38"/>
      <c r="H117" s="36"/>
    </row>
    <row r="118" ht="15.75" customHeight="1">
      <c r="A118" s="35">
        <v>45667.0</v>
      </c>
      <c r="B118" s="23" t="s">
        <v>1</v>
      </c>
      <c r="C118" s="24">
        <v>31.0</v>
      </c>
      <c r="D118" s="23" t="s">
        <v>21</v>
      </c>
      <c r="E118" s="23" t="s">
        <v>18</v>
      </c>
      <c r="F118" s="23" t="s">
        <v>25</v>
      </c>
      <c r="G118" s="38"/>
      <c r="H118" s="36"/>
    </row>
    <row r="119" ht="15.75" customHeight="1">
      <c r="A119" s="35">
        <v>45671.0</v>
      </c>
      <c r="B119" s="23" t="s">
        <v>0</v>
      </c>
      <c r="C119" s="24">
        <v>8217.0</v>
      </c>
      <c r="D119" s="23" t="s">
        <v>21</v>
      </c>
      <c r="E119" s="23" t="s">
        <v>18</v>
      </c>
      <c r="F119" s="23" t="s">
        <v>56</v>
      </c>
      <c r="G119" s="32"/>
      <c r="H119" s="30" t="s">
        <v>57</v>
      </c>
    </row>
    <row r="120" ht="15.75" customHeight="1">
      <c r="A120" s="35">
        <v>45671.0</v>
      </c>
      <c r="B120" s="23" t="s">
        <v>1</v>
      </c>
      <c r="C120" s="24">
        <v>13000.0</v>
      </c>
      <c r="D120" s="23" t="s">
        <v>21</v>
      </c>
      <c r="E120" s="23" t="s">
        <v>18</v>
      </c>
      <c r="F120" s="25"/>
      <c r="G120" s="32"/>
      <c r="H120" s="30" t="s">
        <v>58</v>
      </c>
    </row>
    <row r="121" ht="15.75" customHeight="1">
      <c r="A121" s="35">
        <v>45673.0</v>
      </c>
      <c r="B121" s="23" t="s">
        <v>1</v>
      </c>
      <c r="C121" s="24">
        <v>448.0</v>
      </c>
      <c r="D121" s="23" t="s">
        <v>21</v>
      </c>
      <c r="E121" s="23" t="s">
        <v>18</v>
      </c>
      <c r="F121" s="23" t="s">
        <v>25</v>
      </c>
      <c r="G121" s="38"/>
      <c r="H121" s="36"/>
    </row>
    <row r="122" ht="15.75" customHeight="1">
      <c r="A122" s="35">
        <v>45679.0</v>
      </c>
      <c r="B122" s="23" t="s">
        <v>1</v>
      </c>
      <c r="C122" s="24">
        <v>70.0</v>
      </c>
      <c r="D122" s="23" t="s">
        <v>21</v>
      </c>
      <c r="E122" s="23" t="s">
        <v>18</v>
      </c>
      <c r="F122" s="23" t="s">
        <v>59</v>
      </c>
      <c r="G122" s="32"/>
      <c r="H122" s="30" t="s">
        <v>60</v>
      </c>
    </row>
    <row r="123" ht="15.75" customHeight="1">
      <c r="A123" s="35">
        <v>45681.0</v>
      </c>
      <c r="B123" s="23" t="s">
        <v>1</v>
      </c>
      <c r="C123" s="24">
        <v>693.0</v>
      </c>
      <c r="D123" s="23" t="s">
        <v>21</v>
      </c>
      <c r="E123" s="23" t="s">
        <v>32</v>
      </c>
      <c r="F123" s="23" t="s">
        <v>33</v>
      </c>
      <c r="G123" s="29" t="s">
        <v>34</v>
      </c>
      <c r="H123" s="36"/>
    </row>
    <row r="124" ht="15.75" customHeight="1">
      <c r="A124" s="35">
        <v>45682.0</v>
      </c>
      <c r="B124" s="23" t="s">
        <v>1</v>
      </c>
      <c r="C124" s="24">
        <v>559.0</v>
      </c>
      <c r="D124" s="23" t="s">
        <v>21</v>
      </c>
      <c r="E124" s="23" t="s">
        <v>18</v>
      </c>
      <c r="F124" s="23" t="s">
        <v>25</v>
      </c>
      <c r="G124" s="38"/>
      <c r="H124" s="36"/>
    </row>
    <row r="125" ht="15.75" customHeight="1">
      <c r="A125" s="35">
        <v>45683.0</v>
      </c>
      <c r="B125" s="23" t="s">
        <v>1</v>
      </c>
      <c r="C125" s="24">
        <v>453.0</v>
      </c>
      <c r="D125" s="23" t="s">
        <v>21</v>
      </c>
      <c r="E125" s="23" t="s">
        <v>32</v>
      </c>
      <c r="F125" s="23" t="s">
        <v>33</v>
      </c>
      <c r="G125" s="29" t="s">
        <v>34</v>
      </c>
      <c r="H125" s="36"/>
    </row>
    <row r="126" ht="15.75" customHeight="1">
      <c r="A126" s="35">
        <v>45689.0</v>
      </c>
      <c r="B126" s="23" t="s">
        <v>0</v>
      </c>
      <c r="C126" s="24">
        <v>491.0</v>
      </c>
      <c r="D126" s="23" t="s">
        <v>21</v>
      </c>
      <c r="E126" s="23" t="s">
        <v>18</v>
      </c>
      <c r="F126" s="23" t="s">
        <v>25</v>
      </c>
      <c r="G126" s="38"/>
      <c r="H126" s="36"/>
    </row>
    <row r="127" ht="15.75" customHeight="1">
      <c r="A127" s="35">
        <v>45692.0</v>
      </c>
      <c r="B127" s="23" t="s">
        <v>1</v>
      </c>
      <c r="C127" s="24">
        <v>1240.0</v>
      </c>
      <c r="D127" s="23" t="s">
        <v>21</v>
      </c>
      <c r="E127" s="23" t="s">
        <v>32</v>
      </c>
      <c r="F127" s="23" t="s">
        <v>33</v>
      </c>
      <c r="G127" s="29" t="s">
        <v>34</v>
      </c>
      <c r="H127" s="36"/>
    </row>
    <row r="128" ht="15.75" customHeight="1">
      <c r="A128" s="35">
        <v>45694.0</v>
      </c>
      <c r="B128" s="23" t="s">
        <v>1</v>
      </c>
      <c r="C128" s="24">
        <v>357.0</v>
      </c>
      <c r="D128" s="23" t="s">
        <v>21</v>
      </c>
      <c r="E128" s="23" t="s">
        <v>18</v>
      </c>
      <c r="F128" s="23" t="s">
        <v>25</v>
      </c>
      <c r="G128" s="38"/>
      <c r="H128" s="36"/>
    </row>
    <row r="129" ht="15.75" customHeight="1">
      <c r="A129" s="35">
        <v>45701.0</v>
      </c>
      <c r="B129" s="23" t="s">
        <v>1</v>
      </c>
      <c r="C129" s="24">
        <v>1809.0</v>
      </c>
      <c r="D129" s="23" t="s">
        <v>21</v>
      </c>
      <c r="E129" s="23" t="s">
        <v>32</v>
      </c>
      <c r="F129" s="23" t="s">
        <v>33</v>
      </c>
      <c r="G129" s="29" t="s">
        <v>34</v>
      </c>
      <c r="H129" s="36"/>
    </row>
    <row r="130" ht="15.75" customHeight="1">
      <c r="A130" s="35">
        <v>45701.0</v>
      </c>
      <c r="B130" s="23" t="s">
        <v>0</v>
      </c>
      <c r="C130" s="24">
        <v>548.0</v>
      </c>
      <c r="D130" s="23" t="s">
        <v>21</v>
      </c>
      <c r="E130" s="23" t="s">
        <v>18</v>
      </c>
      <c r="F130" s="37"/>
      <c r="G130" s="38"/>
      <c r="H130" s="36"/>
    </row>
    <row r="131" ht="15.75" customHeight="1">
      <c r="A131" s="35">
        <v>45703.0</v>
      </c>
      <c r="B131" s="23" t="s">
        <v>1</v>
      </c>
      <c r="C131" s="24">
        <v>1381.0</v>
      </c>
      <c r="D131" s="23" t="s">
        <v>21</v>
      </c>
      <c r="E131" s="23" t="s">
        <v>32</v>
      </c>
      <c r="F131" s="23" t="s">
        <v>33</v>
      </c>
      <c r="G131" s="29" t="s">
        <v>34</v>
      </c>
      <c r="H131" s="36"/>
    </row>
    <row r="132" ht="15.75" customHeight="1">
      <c r="A132" s="35">
        <v>45703.0</v>
      </c>
      <c r="B132" s="23" t="s">
        <v>1</v>
      </c>
      <c r="C132" s="24">
        <v>756.0</v>
      </c>
      <c r="D132" s="23" t="s">
        <v>21</v>
      </c>
      <c r="E132" s="23" t="s">
        <v>18</v>
      </c>
      <c r="F132" s="23" t="s">
        <v>25</v>
      </c>
      <c r="G132" s="38"/>
      <c r="H132" s="36"/>
    </row>
    <row r="133" ht="15.75" customHeight="1">
      <c r="A133" s="35">
        <v>45703.0</v>
      </c>
      <c r="B133" s="23" t="s">
        <v>0</v>
      </c>
      <c r="C133" s="24">
        <v>150.0</v>
      </c>
      <c r="D133" s="23" t="s">
        <v>21</v>
      </c>
      <c r="E133" s="23" t="s">
        <v>18</v>
      </c>
      <c r="F133" s="25"/>
      <c r="G133" s="38"/>
      <c r="H133" s="36"/>
    </row>
    <row r="134" ht="15.75" customHeight="1">
      <c r="A134" s="35">
        <v>45703.0</v>
      </c>
      <c r="B134" s="23" t="s">
        <v>1</v>
      </c>
      <c r="C134" s="24">
        <v>335.0</v>
      </c>
      <c r="D134" s="23" t="s">
        <v>21</v>
      </c>
      <c r="E134" s="23" t="s">
        <v>18</v>
      </c>
      <c r="F134" s="23" t="s">
        <v>0</v>
      </c>
      <c r="G134" s="32"/>
      <c r="H134" s="30" t="s">
        <v>61</v>
      </c>
    </row>
    <row r="135" ht="15.75" customHeight="1">
      <c r="A135" s="35">
        <v>45703.0</v>
      </c>
      <c r="B135" s="23" t="s">
        <v>0</v>
      </c>
      <c r="C135" s="24">
        <v>335.0</v>
      </c>
      <c r="D135" s="23" t="s">
        <v>21</v>
      </c>
      <c r="E135" s="23" t="s">
        <v>32</v>
      </c>
      <c r="F135" s="23" t="s">
        <v>44</v>
      </c>
      <c r="G135" s="38"/>
      <c r="H135" s="36"/>
    </row>
    <row r="136" ht="15.75" customHeight="1">
      <c r="A136" s="35">
        <v>45703.0</v>
      </c>
      <c r="B136" s="23" t="s">
        <v>1</v>
      </c>
      <c r="C136" s="24">
        <v>147.0</v>
      </c>
      <c r="D136" s="23" t="s">
        <v>21</v>
      </c>
      <c r="E136" s="23" t="s">
        <v>18</v>
      </c>
      <c r="F136" s="25"/>
      <c r="G136" s="32"/>
      <c r="H136" s="30" t="s">
        <v>62</v>
      </c>
    </row>
    <row r="137" ht="15.75" customHeight="1">
      <c r="A137" s="35">
        <v>45704.0</v>
      </c>
      <c r="B137" s="23" t="s">
        <v>1</v>
      </c>
      <c r="C137" s="24">
        <v>321.0</v>
      </c>
      <c r="D137" s="23" t="s">
        <v>21</v>
      </c>
      <c r="E137" s="23" t="s">
        <v>18</v>
      </c>
      <c r="F137" s="23" t="s">
        <v>25</v>
      </c>
      <c r="G137" s="38"/>
      <c r="H137" s="36"/>
    </row>
    <row r="138" ht="15.75" customHeight="1">
      <c r="A138" s="35">
        <v>45707.0</v>
      </c>
      <c r="B138" s="23" t="s">
        <v>1</v>
      </c>
      <c r="C138" s="24">
        <v>448.0</v>
      </c>
      <c r="D138" s="23" t="s">
        <v>21</v>
      </c>
      <c r="E138" s="23" t="s">
        <v>18</v>
      </c>
      <c r="F138" s="23" t="s">
        <v>25</v>
      </c>
      <c r="G138" s="38"/>
      <c r="H138" s="36"/>
    </row>
    <row r="139" ht="15.75" customHeight="1">
      <c r="A139" s="35">
        <v>45707.0</v>
      </c>
      <c r="B139" s="23" t="s">
        <v>1</v>
      </c>
      <c r="C139" s="24">
        <v>1345.0</v>
      </c>
      <c r="D139" s="23" t="s">
        <v>21</v>
      </c>
      <c r="E139" s="23" t="s">
        <v>32</v>
      </c>
      <c r="F139" s="23" t="s">
        <v>33</v>
      </c>
      <c r="G139" s="29" t="s">
        <v>34</v>
      </c>
      <c r="H139" s="36"/>
    </row>
    <row r="140" ht="15.75" customHeight="1">
      <c r="A140" s="35">
        <v>45707.0</v>
      </c>
      <c r="B140" s="23" t="s">
        <v>1</v>
      </c>
      <c r="C140" s="24">
        <v>1000.0</v>
      </c>
      <c r="D140" s="23" t="s">
        <v>21</v>
      </c>
      <c r="E140" s="23" t="s">
        <v>18</v>
      </c>
      <c r="F140" s="23" t="s">
        <v>63</v>
      </c>
      <c r="G140" s="32"/>
      <c r="H140" s="30" t="s">
        <v>64</v>
      </c>
    </row>
    <row r="141" ht="15.75" customHeight="1">
      <c r="A141" s="35">
        <v>45708.0</v>
      </c>
      <c r="B141" s="23" t="s">
        <v>1</v>
      </c>
      <c r="C141" s="24">
        <v>589.0</v>
      </c>
      <c r="D141" s="23" t="s">
        <v>21</v>
      </c>
      <c r="E141" s="23" t="s">
        <v>18</v>
      </c>
      <c r="F141" s="23" t="s">
        <v>25</v>
      </c>
      <c r="G141" s="38"/>
      <c r="H141" s="36"/>
    </row>
    <row r="142" ht="15.75" customHeight="1">
      <c r="A142" s="35">
        <v>45714.0</v>
      </c>
      <c r="B142" s="23" t="s">
        <v>1</v>
      </c>
      <c r="C142" s="24">
        <v>619.0</v>
      </c>
      <c r="D142" s="23" t="s">
        <v>21</v>
      </c>
      <c r="E142" s="23" t="s">
        <v>18</v>
      </c>
      <c r="F142" s="23" t="s">
        <v>25</v>
      </c>
      <c r="G142" s="38"/>
      <c r="H142" s="36"/>
    </row>
    <row r="143" ht="15.75" customHeight="1">
      <c r="A143" s="35">
        <v>45714.0</v>
      </c>
      <c r="B143" s="23" t="s">
        <v>1</v>
      </c>
      <c r="C143" s="24">
        <v>1705.0</v>
      </c>
      <c r="D143" s="23" t="s">
        <v>21</v>
      </c>
      <c r="E143" s="23" t="s">
        <v>32</v>
      </c>
      <c r="F143" s="23" t="s">
        <v>33</v>
      </c>
      <c r="G143" s="29" t="s">
        <v>34</v>
      </c>
      <c r="H143" s="36"/>
    </row>
    <row r="144" ht="15.75" customHeight="1">
      <c r="A144" s="35">
        <v>45715.0</v>
      </c>
      <c r="B144" s="23" t="s">
        <v>0</v>
      </c>
      <c r="C144" s="24">
        <v>3174.0</v>
      </c>
      <c r="D144" s="23" t="s">
        <v>21</v>
      </c>
      <c r="E144" s="23" t="s">
        <v>18</v>
      </c>
      <c r="F144" s="23" t="s">
        <v>59</v>
      </c>
      <c r="G144" s="32"/>
      <c r="H144" s="30" t="s">
        <v>65</v>
      </c>
    </row>
    <row r="145" ht="15.75" customHeight="1">
      <c r="A145" s="35">
        <v>45716.0</v>
      </c>
      <c r="B145" s="23" t="s">
        <v>1</v>
      </c>
      <c r="C145" s="24">
        <v>528.0</v>
      </c>
      <c r="D145" s="23" t="s">
        <v>21</v>
      </c>
      <c r="E145" s="23" t="s">
        <v>18</v>
      </c>
      <c r="F145" s="23" t="s">
        <v>25</v>
      </c>
      <c r="G145" s="32"/>
      <c r="H145" s="30"/>
    </row>
    <row r="146" ht="15.75" customHeight="1">
      <c r="A146" s="35">
        <v>45720.0</v>
      </c>
      <c r="B146" s="23" t="s">
        <v>1</v>
      </c>
      <c r="C146" s="24">
        <v>1105.0</v>
      </c>
      <c r="D146" s="23" t="s">
        <v>21</v>
      </c>
      <c r="E146" s="23" t="s">
        <v>18</v>
      </c>
      <c r="F146" s="23" t="s">
        <v>0</v>
      </c>
      <c r="G146" s="38"/>
      <c r="H146" s="36"/>
    </row>
    <row r="147" ht="15.75" customHeight="1">
      <c r="A147" s="35">
        <v>45720.0</v>
      </c>
      <c r="B147" s="23" t="s">
        <v>0</v>
      </c>
      <c r="C147" s="24">
        <v>1105.0</v>
      </c>
      <c r="D147" s="23" t="s">
        <v>21</v>
      </c>
      <c r="E147" s="23" t="s">
        <v>32</v>
      </c>
      <c r="F147" s="25"/>
      <c r="G147" s="38"/>
      <c r="H147" s="36"/>
    </row>
    <row r="148" ht="15.75" customHeight="1">
      <c r="A148" s="35">
        <v>45720.0</v>
      </c>
      <c r="B148" s="23" t="s">
        <v>1</v>
      </c>
      <c r="C148" s="24">
        <v>500.0</v>
      </c>
      <c r="D148" s="23" t="s">
        <v>21</v>
      </c>
      <c r="E148" s="23" t="s">
        <v>18</v>
      </c>
      <c r="F148" s="23" t="s">
        <v>63</v>
      </c>
      <c r="G148" s="32"/>
      <c r="H148" s="30" t="s">
        <v>66</v>
      </c>
    </row>
    <row r="149" ht="15.75" customHeight="1">
      <c r="A149" s="35">
        <v>45720.0</v>
      </c>
      <c r="B149" s="23" t="s">
        <v>1</v>
      </c>
      <c r="C149" s="24">
        <v>1500.0</v>
      </c>
      <c r="D149" s="23" t="s">
        <v>21</v>
      </c>
      <c r="E149" s="23" t="s">
        <v>32</v>
      </c>
      <c r="F149" s="23" t="s">
        <v>38</v>
      </c>
      <c r="G149" s="32"/>
      <c r="H149" s="30" t="s">
        <v>67</v>
      </c>
    </row>
    <row r="150" ht="15.75" customHeight="1">
      <c r="A150" s="35">
        <v>45724.0</v>
      </c>
      <c r="B150" s="23" t="s">
        <v>1</v>
      </c>
      <c r="C150" s="24">
        <v>1735.0</v>
      </c>
      <c r="D150" s="23" t="s">
        <v>21</v>
      </c>
      <c r="E150" s="23" t="s">
        <v>32</v>
      </c>
      <c r="F150" s="23" t="s">
        <v>33</v>
      </c>
      <c r="G150" s="29" t="s">
        <v>34</v>
      </c>
      <c r="H150" s="36"/>
    </row>
    <row r="151" ht="15.75" customHeight="1">
      <c r="A151" s="35">
        <v>45724.0</v>
      </c>
      <c r="B151" s="23" t="s">
        <v>1</v>
      </c>
      <c r="C151" s="45">
        <v>892.0</v>
      </c>
      <c r="D151" s="23" t="s">
        <v>21</v>
      </c>
      <c r="E151" s="23" t="s">
        <v>18</v>
      </c>
      <c r="F151" s="23" t="s">
        <v>25</v>
      </c>
      <c r="G151" s="38"/>
      <c r="H151" s="36"/>
    </row>
    <row r="152" ht="15.75" customHeight="1">
      <c r="A152" s="35">
        <v>45724.0</v>
      </c>
      <c r="B152" s="23" t="s">
        <v>0</v>
      </c>
      <c r="C152" s="24">
        <v>200.0</v>
      </c>
      <c r="D152" s="23" t="s">
        <v>21</v>
      </c>
      <c r="E152" s="23" t="s">
        <v>18</v>
      </c>
      <c r="F152" s="23" t="s">
        <v>25</v>
      </c>
      <c r="G152" s="38"/>
      <c r="H152" s="36"/>
    </row>
    <row r="153" ht="15.75" customHeight="1">
      <c r="A153" s="35">
        <v>45726.0</v>
      </c>
      <c r="B153" s="23" t="s">
        <v>1</v>
      </c>
      <c r="C153" s="24">
        <v>100.0</v>
      </c>
      <c r="D153" s="23" t="s">
        <v>21</v>
      </c>
      <c r="E153" s="23" t="s">
        <v>18</v>
      </c>
      <c r="F153" s="23" t="s">
        <v>0</v>
      </c>
      <c r="G153" s="38"/>
      <c r="H153" s="36"/>
    </row>
    <row r="154" ht="15.75" customHeight="1">
      <c r="A154" s="35">
        <v>45726.0</v>
      </c>
      <c r="B154" s="23" t="s">
        <v>0</v>
      </c>
      <c r="C154" s="24">
        <v>100.0</v>
      </c>
      <c r="D154" s="23" t="s">
        <v>21</v>
      </c>
      <c r="E154" s="23" t="s">
        <v>32</v>
      </c>
      <c r="F154" s="25"/>
      <c r="G154" s="38"/>
      <c r="H154" s="36"/>
    </row>
    <row r="155" ht="15.75" customHeight="1">
      <c r="A155" s="35">
        <v>45727.0</v>
      </c>
      <c r="B155" s="23" t="s">
        <v>1</v>
      </c>
      <c r="C155" s="24">
        <v>20.0</v>
      </c>
      <c r="D155" s="23" t="s">
        <v>21</v>
      </c>
      <c r="E155" s="23" t="s">
        <v>18</v>
      </c>
      <c r="F155" s="23" t="s">
        <v>25</v>
      </c>
      <c r="G155" s="38"/>
      <c r="H155" s="36"/>
    </row>
    <row r="156" ht="15.75" customHeight="1">
      <c r="A156" s="35">
        <v>45728.0</v>
      </c>
      <c r="B156" s="23" t="s">
        <v>1</v>
      </c>
      <c r="C156" s="24">
        <v>656.0</v>
      </c>
      <c r="D156" s="23" t="s">
        <v>21</v>
      </c>
      <c r="E156" s="23" t="s">
        <v>18</v>
      </c>
      <c r="F156" s="23" t="s">
        <v>25</v>
      </c>
      <c r="G156" s="38"/>
      <c r="H156" s="36"/>
    </row>
    <row r="157" ht="15.75" customHeight="1">
      <c r="A157" s="35">
        <v>45729.0</v>
      </c>
      <c r="B157" s="23" t="s">
        <v>1</v>
      </c>
      <c r="C157" s="24">
        <v>384.0</v>
      </c>
      <c r="D157" s="23" t="s">
        <v>21</v>
      </c>
      <c r="E157" s="23" t="s">
        <v>18</v>
      </c>
      <c r="F157" s="23" t="s">
        <v>25</v>
      </c>
      <c r="G157" s="38"/>
      <c r="H157" s="36"/>
    </row>
    <row r="158" ht="15.75" customHeight="1">
      <c r="A158" s="46">
        <v>45730.0</v>
      </c>
      <c r="B158" s="47" t="s">
        <v>1</v>
      </c>
      <c r="C158" s="48">
        <v>277.0</v>
      </c>
      <c r="D158" s="47" t="s">
        <v>21</v>
      </c>
      <c r="E158" s="47" t="s">
        <v>18</v>
      </c>
      <c r="F158" s="49"/>
      <c r="G158" s="50"/>
      <c r="H158" s="51" t="s">
        <v>68</v>
      </c>
    </row>
    <row r="159" ht="15.75" customHeight="1">
      <c r="A159" s="35">
        <v>45730.0</v>
      </c>
      <c r="B159" s="23" t="s">
        <v>1</v>
      </c>
      <c r="C159" s="24">
        <v>50.0</v>
      </c>
      <c r="D159" s="23" t="s">
        <v>21</v>
      </c>
      <c r="E159" s="23" t="s">
        <v>18</v>
      </c>
      <c r="F159" s="23" t="s">
        <v>0</v>
      </c>
      <c r="G159" s="38"/>
      <c r="H159" s="36"/>
    </row>
    <row r="160" ht="15.75" customHeight="1">
      <c r="A160" s="35">
        <v>45730.0</v>
      </c>
      <c r="B160" s="23" t="s">
        <v>0</v>
      </c>
      <c r="C160" s="24">
        <v>50.0</v>
      </c>
      <c r="D160" s="23" t="s">
        <v>21</v>
      </c>
      <c r="E160" s="23" t="s">
        <v>32</v>
      </c>
      <c r="F160" s="23" t="s">
        <v>44</v>
      </c>
      <c r="G160" s="38"/>
      <c r="H160" s="36"/>
    </row>
    <row r="161" ht="15.75" customHeight="1">
      <c r="A161" s="35">
        <v>45730.0</v>
      </c>
      <c r="B161" s="23" t="s">
        <v>1</v>
      </c>
      <c r="C161" s="24">
        <v>1852.0</v>
      </c>
      <c r="D161" s="23" t="s">
        <v>21</v>
      </c>
      <c r="E161" s="23" t="s">
        <v>32</v>
      </c>
      <c r="F161" s="23" t="s">
        <v>33</v>
      </c>
      <c r="G161" s="29" t="s">
        <v>34</v>
      </c>
      <c r="H161" s="36"/>
    </row>
    <row r="162" ht="15.75" customHeight="1">
      <c r="A162" s="35">
        <v>45732.0</v>
      </c>
      <c r="B162" s="23" t="s">
        <v>1</v>
      </c>
      <c r="C162" s="24">
        <v>300.0</v>
      </c>
      <c r="D162" s="23" t="s">
        <v>21</v>
      </c>
      <c r="E162" s="23" t="s">
        <v>18</v>
      </c>
      <c r="F162" s="23" t="s">
        <v>25</v>
      </c>
      <c r="G162" s="38"/>
      <c r="H162" s="36"/>
    </row>
    <row r="163" ht="15.75" customHeight="1">
      <c r="A163" s="35">
        <v>45733.0</v>
      </c>
      <c r="B163" s="23" t="s">
        <v>0</v>
      </c>
      <c r="C163" s="24">
        <v>65.0</v>
      </c>
      <c r="D163" s="23" t="s">
        <v>21</v>
      </c>
      <c r="E163" s="23" t="s">
        <v>32</v>
      </c>
      <c r="F163" s="23" t="s">
        <v>44</v>
      </c>
      <c r="G163" s="38"/>
      <c r="H163" s="36"/>
    </row>
    <row r="164" ht="15.75" customHeight="1">
      <c r="A164" s="35">
        <v>45733.0</v>
      </c>
      <c r="B164" s="23" t="s">
        <v>1</v>
      </c>
      <c r="C164" s="24">
        <v>65.0</v>
      </c>
      <c r="D164" s="23" t="s">
        <v>21</v>
      </c>
      <c r="E164" s="23" t="s">
        <v>18</v>
      </c>
      <c r="F164" s="23" t="s">
        <v>69</v>
      </c>
      <c r="G164" s="38"/>
      <c r="H164" s="36"/>
    </row>
    <row r="165" ht="15.75" customHeight="1">
      <c r="A165" s="35">
        <v>45733.0</v>
      </c>
      <c r="B165" s="23" t="s">
        <v>1</v>
      </c>
      <c r="C165" s="24">
        <v>429.0</v>
      </c>
      <c r="D165" s="23" t="s">
        <v>21</v>
      </c>
      <c r="E165" s="23" t="s">
        <v>18</v>
      </c>
      <c r="F165" s="23" t="s">
        <v>25</v>
      </c>
      <c r="G165" s="38"/>
      <c r="H165" s="36"/>
    </row>
    <row r="166" ht="15.75" customHeight="1">
      <c r="A166" s="35">
        <v>45734.0</v>
      </c>
      <c r="B166" s="23" t="s">
        <v>1</v>
      </c>
      <c r="C166" s="24">
        <v>1434.0</v>
      </c>
      <c r="D166" s="23" t="s">
        <v>21</v>
      </c>
      <c r="E166" s="23" t="s">
        <v>32</v>
      </c>
      <c r="F166" s="23" t="s">
        <v>33</v>
      </c>
      <c r="G166" s="29" t="s">
        <v>34</v>
      </c>
      <c r="H166" s="36"/>
    </row>
    <row r="167" ht="15.75" customHeight="1">
      <c r="A167" s="35">
        <v>45735.0</v>
      </c>
      <c r="B167" s="23" t="s">
        <v>1</v>
      </c>
      <c r="C167" s="24">
        <v>384.0</v>
      </c>
      <c r="D167" s="23" t="s">
        <v>21</v>
      </c>
      <c r="E167" s="23" t="s">
        <v>18</v>
      </c>
      <c r="F167" s="23" t="s">
        <v>25</v>
      </c>
      <c r="G167" s="38"/>
      <c r="H167" s="36"/>
    </row>
    <row r="168" ht="15.75" customHeight="1">
      <c r="A168" s="35">
        <v>45736.0</v>
      </c>
      <c r="B168" s="23" t="s">
        <v>1</v>
      </c>
      <c r="C168" s="24">
        <v>563.0</v>
      </c>
      <c r="D168" s="23" t="s">
        <v>21</v>
      </c>
      <c r="E168" s="23" t="s">
        <v>18</v>
      </c>
      <c r="F168" s="23" t="s">
        <v>25</v>
      </c>
      <c r="G168" s="38"/>
      <c r="H168" s="36"/>
    </row>
    <row r="169" ht="15.75" customHeight="1">
      <c r="A169" s="35">
        <v>45738.0</v>
      </c>
      <c r="B169" s="23" t="s">
        <v>1</v>
      </c>
      <c r="C169" s="24">
        <v>245.0</v>
      </c>
      <c r="D169" s="23" t="s">
        <v>21</v>
      </c>
      <c r="E169" s="23" t="s">
        <v>18</v>
      </c>
      <c r="F169" s="23" t="s">
        <v>25</v>
      </c>
      <c r="G169" s="38"/>
      <c r="H169" s="36"/>
    </row>
    <row r="170" ht="15.75" customHeight="1">
      <c r="A170" s="35">
        <v>45741.0</v>
      </c>
      <c r="B170" s="23" t="s">
        <v>1</v>
      </c>
      <c r="C170" s="24">
        <v>1350.0</v>
      </c>
      <c r="D170" s="23" t="s">
        <v>21</v>
      </c>
      <c r="E170" s="23" t="s">
        <v>32</v>
      </c>
      <c r="F170" s="23" t="s">
        <v>33</v>
      </c>
      <c r="G170" s="29" t="s">
        <v>34</v>
      </c>
      <c r="H170" s="36"/>
    </row>
    <row r="171" ht="15.75" customHeight="1">
      <c r="A171" s="35">
        <v>45741.0</v>
      </c>
      <c r="B171" s="23" t="s">
        <v>1</v>
      </c>
      <c r="C171" s="24">
        <v>557.0</v>
      </c>
      <c r="D171" s="23" t="s">
        <v>21</v>
      </c>
      <c r="E171" s="23" t="s">
        <v>18</v>
      </c>
      <c r="F171" s="23" t="s">
        <v>25</v>
      </c>
      <c r="G171" s="38"/>
      <c r="H171" s="36"/>
    </row>
    <row r="172" ht="15.75" customHeight="1">
      <c r="A172" s="35">
        <v>45742.0</v>
      </c>
      <c r="B172" s="23" t="s">
        <v>1</v>
      </c>
      <c r="C172" s="24">
        <v>696.0</v>
      </c>
      <c r="D172" s="23" t="s">
        <v>21</v>
      </c>
      <c r="E172" s="23" t="s">
        <v>18</v>
      </c>
      <c r="F172" s="23" t="s">
        <v>25</v>
      </c>
      <c r="G172" s="38"/>
      <c r="H172" s="36"/>
    </row>
    <row r="173" ht="15.75" customHeight="1">
      <c r="A173" s="35">
        <v>45744.0</v>
      </c>
      <c r="B173" s="23" t="s">
        <v>1</v>
      </c>
      <c r="C173" s="24">
        <v>1724.0</v>
      </c>
      <c r="D173" s="23" t="s">
        <v>21</v>
      </c>
      <c r="E173" s="23" t="s">
        <v>32</v>
      </c>
      <c r="F173" s="23" t="s">
        <v>33</v>
      </c>
      <c r="G173" s="29" t="s">
        <v>34</v>
      </c>
      <c r="H173" s="36"/>
    </row>
    <row r="174" ht="15.75" customHeight="1">
      <c r="A174" s="35">
        <v>45745.0</v>
      </c>
      <c r="B174" s="23" t="s">
        <v>1</v>
      </c>
      <c r="C174" s="24">
        <v>205.0</v>
      </c>
      <c r="D174" s="23" t="s">
        <v>21</v>
      </c>
      <c r="E174" s="23" t="s">
        <v>18</v>
      </c>
      <c r="F174" s="23" t="s">
        <v>25</v>
      </c>
      <c r="G174" s="38"/>
      <c r="H174" s="36"/>
    </row>
    <row r="175" ht="15.75" customHeight="1">
      <c r="A175" s="35">
        <v>45746.0</v>
      </c>
      <c r="B175" s="23" t="s">
        <v>1</v>
      </c>
      <c r="C175" s="24">
        <v>692.0</v>
      </c>
      <c r="D175" s="23" t="s">
        <v>21</v>
      </c>
      <c r="E175" s="23" t="s">
        <v>18</v>
      </c>
      <c r="F175" s="23" t="s">
        <v>25</v>
      </c>
      <c r="G175" s="38"/>
      <c r="H175" s="36"/>
    </row>
    <row r="176" ht="15.75" customHeight="1">
      <c r="A176" s="35">
        <v>45747.0</v>
      </c>
      <c r="B176" s="23" t="s">
        <v>1</v>
      </c>
      <c r="C176" s="24">
        <v>830.0</v>
      </c>
      <c r="D176" s="23" t="s">
        <v>21</v>
      </c>
      <c r="E176" s="23" t="s">
        <v>32</v>
      </c>
      <c r="F176" s="23" t="s">
        <v>33</v>
      </c>
      <c r="G176" s="29" t="s">
        <v>34</v>
      </c>
      <c r="H176" s="36"/>
    </row>
    <row r="177" ht="15.75" customHeight="1">
      <c r="A177" s="35">
        <v>45749.0</v>
      </c>
      <c r="B177" s="23" t="s">
        <v>1</v>
      </c>
      <c r="C177" s="24">
        <v>1120.0</v>
      </c>
      <c r="D177" s="23" t="s">
        <v>21</v>
      </c>
      <c r="E177" s="23" t="s">
        <v>18</v>
      </c>
      <c r="F177" s="23" t="s">
        <v>25</v>
      </c>
      <c r="G177" s="38"/>
      <c r="H177" s="36"/>
    </row>
    <row r="178" ht="15.75" customHeight="1">
      <c r="A178" s="35">
        <v>45749.0</v>
      </c>
      <c r="B178" s="23" t="s">
        <v>1</v>
      </c>
      <c r="C178" s="24">
        <v>2823.0</v>
      </c>
      <c r="D178" s="23" t="s">
        <v>21</v>
      </c>
      <c r="E178" s="23" t="s">
        <v>32</v>
      </c>
      <c r="F178" s="23" t="s">
        <v>33</v>
      </c>
      <c r="G178" s="29" t="s">
        <v>34</v>
      </c>
      <c r="H178" s="30" t="s">
        <v>70</v>
      </c>
    </row>
    <row r="179" ht="15.75" customHeight="1">
      <c r="A179" s="35">
        <v>45750.0</v>
      </c>
      <c r="B179" s="23" t="s">
        <v>1</v>
      </c>
      <c r="C179" s="24">
        <v>1553.0</v>
      </c>
      <c r="D179" s="23" t="s">
        <v>21</v>
      </c>
      <c r="E179" s="23" t="s">
        <v>32</v>
      </c>
      <c r="F179" s="23" t="s">
        <v>33</v>
      </c>
      <c r="G179" s="29" t="s">
        <v>34</v>
      </c>
      <c r="H179" s="36"/>
    </row>
    <row r="180" ht="15.75" customHeight="1">
      <c r="A180" s="35">
        <v>45750.0</v>
      </c>
      <c r="B180" s="23" t="s">
        <v>1</v>
      </c>
      <c r="C180" s="24">
        <v>1025.0</v>
      </c>
      <c r="D180" s="23" t="s">
        <v>21</v>
      </c>
      <c r="E180" s="23" t="s">
        <v>18</v>
      </c>
      <c r="F180" s="23" t="s">
        <v>25</v>
      </c>
      <c r="G180" s="38"/>
      <c r="H180" s="36"/>
    </row>
    <row r="181" ht="15.75" customHeight="1">
      <c r="A181" s="35">
        <v>45751.0</v>
      </c>
      <c r="B181" s="23" t="s">
        <v>1</v>
      </c>
      <c r="C181" s="24">
        <v>300.0</v>
      </c>
      <c r="D181" s="23" t="s">
        <v>21</v>
      </c>
      <c r="E181" s="23" t="s">
        <v>18</v>
      </c>
      <c r="F181" s="23" t="s">
        <v>25</v>
      </c>
      <c r="G181" s="38"/>
      <c r="H181" s="36"/>
    </row>
    <row r="182" ht="15.75" customHeight="1">
      <c r="A182" s="35">
        <v>45751.0</v>
      </c>
      <c r="B182" s="23" t="s">
        <v>1</v>
      </c>
      <c r="C182" s="24">
        <v>1334.0</v>
      </c>
      <c r="D182" s="23" t="s">
        <v>21</v>
      </c>
      <c r="E182" s="23" t="s">
        <v>32</v>
      </c>
      <c r="F182" s="23" t="s">
        <v>33</v>
      </c>
      <c r="G182" s="29" t="s">
        <v>34</v>
      </c>
      <c r="H182" s="36"/>
    </row>
    <row r="183" ht="15.75" customHeight="1">
      <c r="A183" s="35">
        <v>45752.0</v>
      </c>
      <c r="B183" s="23" t="s">
        <v>1</v>
      </c>
      <c r="C183" s="24">
        <v>1500.0</v>
      </c>
      <c r="D183" s="23" t="s">
        <v>21</v>
      </c>
      <c r="E183" s="23" t="s">
        <v>18</v>
      </c>
      <c r="F183" s="23" t="s">
        <v>63</v>
      </c>
      <c r="G183" s="32"/>
      <c r="H183" s="30" t="s">
        <v>71</v>
      </c>
    </row>
    <row r="184" ht="15.75" customHeight="1">
      <c r="A184" s="35">
        <v>45752.0</v>
      </c>
      <c r="B184" s="23" t="s">
        <v>1</v>
      </c>
      <c r="C184" s="24">
        <v>1448.0</v>
      </c>
      <c r="D184" s="23" t="s">
        <v>21</v>
      </c>
      <c r="E184" s="23" t="s">
        <v>18</v>
      </c>
      <c r="F184" s="23" t="s">
        <v>25</v>
      </c>
      <c r="G184" s="32"/>
      <c r="H184" s="30"/>
    </row>
    <row r="185" ht="15.75" customHeight="1">
      <c r="A185" s="35">
        <v>45757.0</v>
      </c>
      <c r="B185" s="23" t="s">
        <v>1</v>
      </c>
      <c r="C185" s="24">
        <v>895.0</v>
      </c>
      <c r="D185" s="23" t="s">
        <v>21</v>
      </c>
      <c r="E185" s="23" t="s">
        <v>18</v>
      </c>
      <c r="F185" s="23" t="s">
        <v>25</v>
      </c>
      <c r="G185" s="38"/>
      <c r="H185" s="36"/>
    </row>
    <row r="186" ht="15.75" customHeight="1">
      <c r="A186" s="35">
        <v>45758.0</v>
      </c>
      <c r="B186" s="23" t="s">
        <v>1</v>
      </c>
      <c r="C186" s="24">
        <v>2188.0</v>
      </c>
      <c r="D186" s="23" t="s">
        <v>21</v>
      </c>
      <c r="E186" s="23" t="s">
        <v>32</v>
      </c>
      <c r="F186" s="23" t="s">
        <v>33</v>
      </c>
      <c r="G186" s="29" t="s">
        <v>34</v>
      </c>
      <c r="H186" s="36"/>
    </row>
    <row r="187" ht="15.75" customHeight="1">
      <c r="A187" s="52">
        <v>45759.0</v>
      </c>
      <c r="B187" s="53" t="s">
        <v>1</v>
      </c>
      <c r="C187" s="54">
        <v>550.0</v>
      </c>
      <c r="D187" s="53" t="s">
        <v>21</v>
      </c>
      <c r="E187" s="53" t="s">
        <v>32</v>
      </c>
      <c r="F187" s="55"/>
      <c r="G187" s="56"/>
      <c r="H187" s="57" t="s">
        <v>62</v>
      </c>
    </row>
    <row r="188" ht="15.75" customHeight="1">
      <c r="A188" s="35">
        <v>45759.0</v>
      </c>
      <c r="B188" s="23" t="s">
        <v>1</v>
      </c>
      <c r="C188" s="24">
        <v>1650.0</v>
      </c>
      <c r="D188" s="23" t="s">
        <v>21</v>
      </c>
      <c r="E188" s="23" t="s">
        <v>18</v>
      </c>
      <c r="F188" s="23" t="s">
        <v>25</v>
      </c>
      <c r="G188" s="38"/>
      <c r="H188" s="36"/>
    </row>
    <row r="189" ht="15.75" customHeight="1">
      <c r="A189" s="35">
        <v>45763.0</v>
      </c>
      <c r="B189" s="23" t="s">
        <v>1</v>
      </c>
      <c r="C189" s="24">
        <v>800.0</v>
      </c>
      <c r="D189" s="23" t="s">
        <v>21</v>
      </c>
      <c r="E189" s="23" t="s">
        <v>18</v>
      </c>
      <c r="F189" s="23" t="s">
        <v>72</v>
      </c>
      <c r="G189" s="38"/>
      <c r="H189" s="36"/>
    </row>
    <row r="190" ht="15.75" customHeight="1">
      <c r="A190" s="35">
        <v>45764.0</v>
      </c>
      <c r="B190" s="23" t="s">
        <v>1</v>
      </c>
      <c r="C190" s="24">
        <v>1363.0</v>
      </c>
      <c r="D190" s="23" t="s">
        <v>21</v>
      </c>
      <c r="E190" s="23" t="s">
        <v>18</v>
      </c>
      <c r="F190" s="23" t="s">
        <v>25</v>
      </c>
      <c r="G190" s="38"/>
      <c r="H190" s="36"/>
    </row>
    <row r="191" ht="15.75" customHeight="1">
      <c r="A191" s="35">
        <v>45766.0</v>
      </c>
      <c r="B191" s="23" t="s">
        <v>1</v>
      </c>
      <c r="C191" s="24">
        <v>2748.0</v>
      </c>
      <c r="D191" s="23" t="s">
        <v>21</v>
      </c>
      <c r="E191" s="23" t="s">
        <v>32</v>
      </c>
      <c r="F191" s="23" t="s">
        <v>33</v>
      </c>
      <c r="G191" s="29" t="s">
        <v>34</v>
      </c>
      <c r="H191" s="36"/>
    </row>
    <row r="192" ht="15.75" customHeight="1">
      <c r="A192" s="35">
        <v>45766.0</v>
      </c>
      <c r="B192" s="23" t="s">
        <v>1</v>
      </c>
      <c r="C192" s="24">
        <v>532.0</v>
      </c>
      <c r="D192" s="23" t="s">
        <v>21</v>
      </c>
      <c r="E192" s="23" t="s">
        <v>18</v>
      </c>
      <c r="F192" s="23" t="s">
        <v>25</v>
      </c>
      <c r="G192" s="38"/>
      <c r="H192" s="36"/>
    </row>
    <row r="193" ht="15.75" customHeight="1">
      <c r="A193" s="35">
        <v>45768.0</v>
      </c>
      <c r="B193" s="23" t="s">
        <v>1</v>
      </c>
      <c r="C193" s="24">
        <v>532.0</v>
      </c>
      <c r="D193" s="23" t="s">
        <v>21</v>
      </c>
      <c r="E193" s="23" t="s">
        <v>18</v>
      </c>
      <c r="F193" s="23" t="s">
        <v>25</v>
      </c>
      <c r="G193" s="38"/>
      <c r="H193" s="36"/>
    </row>
    <row r="194" ht="15.75" customHeight="1">
      <c r="A194" s="35">
        <v>45770.0</v>
      </c>
      <c r="B194" s="23" t="s">
        <v>1</v>
      </c>
      <c r="C194" s="24">
        <v>1430.0</v>
      </c>
      <c r="D194" s="23" t="s">
        <v>21</v>
      </c>
      <c r="E194" s="23" t="s">
        <v>18</v>
      </c>
      <c r="F194" s="23" t="s">
        <v>25</v>
      </c>
      <c r="G194" s="38"/>
      <c r="H194" s="36"/>
    </row>
    <row r="195" ht="15.75" customHeight="1">
      <c r="A195" s="35">
        <v>45770.0</v>
      </c>
      <c r="B195" s="23" t="s">
        <v>1</v>
      </c>
      <c r="C195" s="24">
        <v>2495.0</v>
      </c>
      <c r="D195" s="23" t="s">
        <v>21</v>
      </c>
      <c r="E195" s="23" t="s">
        <v>32</v>
      </c>
      <c r="F195" s="23" t="s">
        <v>33</v>
      </c>
      <c r="G195" s="29" t="s">
        <v>34</v>
      </c>
      <c r="H195" s="36"/>
    </row>
    <row r="196" ht="15.75" customHeight="1">
      <c r="A196" s="35">
        <v>45771.0</v>
      </c>
      <c r="B196" s="23" t="s">
        <v>1</v>
      </c>
      <c r="C196" s="24">
        <v>40.0</v>
      </c>
      <c r="D196" s="23" t="s">
        <v>21</v>
      </c>
      <c r="E196" s="23" t="s">
        <v>18</v>
      </c>
      <c r="F196" s="23" t="s">
        <v>69</v>
      </c>
      <c r="G196" s="38"/>
      <c r="H196" s="36"/>
    </row>
    <row r="197" ht="15.75" customHeight="1">
      <c r="A197" s="35">
        <v>45773.0</v>
      </c>
      <c r="B197" s="23" t="s">
        <v>1</v>
      </c>
      <c r="C197" s="24">
        <v>788.0</v>
      </c>
      <c r="D197" s="23" t="s">
        <v>21</v>
      </c>
      <c r="E197" s="23" t="s">
        <v>18</v>
      </c>
      <c r="F197" s="23" t="s">
        <v>25</v>
      </c>
      <c r="G197" s="38"/>
      <c r="H197" s="36"/>
    </row>
    <row r="198" ht="15.75" customHeight="1">
      <c r="A198" s="35">
        <v>45777.0</v>
      </c>
      <c r="B198" s="23" t="s">
        <v>1</v>
      </c>
      <c r="C198" s="24">
        <v>2706.0</v>
      </c>
      <c r="D198" s="23" t="s">
        <v>21</v>
      </c>
      <c r="E198" s="23" t="s">
        <v>32</v>
      </c>
      <c r="F198" s="23" t="s">
        <v>33</v>
      </c>
      <c r="G198" s="29" t="s">
        <v>34</v>
      </c>
      <c r="H198" s="36"/>
    </row>
    <row r="199" ht="15.75" customHeight="1">
      <c r="A199" s="35">
        <v>45777.0</v>
      </c>
      <c r="B199" s="23" t="s">
        <v>1</v>
      </c>
      <c r="C199" s="24">
        <v>553.0</v>
      </c>
      <c r="D199" s="23" t="s">
        <v>21</v>
      </c>
      <c r="E199" s="23" t="s">
        <v>18</v>
      </c>
      <c r="F199" s="23" t="s">
        <v>25</v>
      </c>
      <c r="G199" s="38"/>
      <c r="H199" s="36"/>
    </row>
    <row r="200" ht="15.75" customHeight="1">
      <c r="A200" s="35">
        <v>45777.0</v>
      </c>
      <c r="B200" s="23" t="s">
        <v>1</v>
      </c>
      <c r="C200" s="24">
        <v>1500.0</v>
      </c>
      <c r="D200" s="23" t="s">
        <v>21</v>
      </c>
      <c r="E200" s="23" t="s">
        <v>32</v>
      </c>
      <c r="F200" s="23" t="s">
        <v>38</v>
      </c>
      <c r="G200" s="32"/>
      <c r="H200" s="30" t="s">
        <v>73</v>
      </c>
    </row>
    <row r="201" ht="15.75" customHeight="1">
      <c r="A201" s="35">
        <v>45780.0</v>
      </c>
      <c r="B201" s="23" t="s">
        <v>1</v>
      </c>
      <c r="C201" s="24">
        <v>761.0</v>
      </c>
      <c r="D201" s="23" t="s">
        <v>21</v>
      </c>
      <c r="E201" s="23" t="s">
        <v>18</v>
      </c>
      <c r="F201" s="23" t="s">
        <v>25</v>
      </c>
      <c r="G201" s="32"/>
      <c r="H201" s="30"/>
    </row>
    <row r="202" ht="15.75" customHeight="1">
      <c r="A202" s="35">
        <v>45781.0</v>
      </c>
      <c r="B202" s="23" t="s">
        <v>1</v>
      </c>
      <c r="C202" s="24">
        <v>50.0</v>
      </c>
      <c r="D202" s="23" t="s">
        <v>21</v>
      </c>
      <c r="E202" s="23" t="s">
        <v>18</v>
      </c>
      <c r="F202" s="23" t="s">
        <v>74</v>
      </c>
      <c r="G202" s="38"/>
      <c r="H202" s="36"/>
    </row>
    <row r="203" ht="15.75" customHeight="1">
      <c r="A203" s="35">
        <v>45781.0</v>
      </c>
      <c r="B203" s="23" t="s">
        <v>1</v>
      </c>
      <c r="C203" s="24">
        <v>300.0</v>
      </c>
      <c r="D203" s="23" t="s">
        <v>21</v>
      </c>
      <c r="E203" s="23" t="s">
        <v>18</v>
      </c>
      <c r="F203" s="25"/>
      <c r="G203" s="38"/>
      <c r="H203" s="36"/>
    </row>
    <row r="204" ht="15.75" customHeight="1">
      <c r="A204" s="35">
        <v>45785.0</v>
      </c>
      <c r="B204" s="23" t="s">
        <v>1</v>
      </c>
      <c r="C204" s="24">
        <v>673.0</v>
      </c>
      <c r="D204" s="23" t="s">
        <v>21</v>
      </c>
      <c r="E204" s="23" t="s">
        <v>18</v>
      </c>
      <c r="F204" s="23" t="s">
        <v>25</v>
      </c>
      <c r="G204" s="38"/>
      <c r="H204" s="36"/>
    </row>
    <row r="205" ht="15.75" customHeight="1">
      <c r="A205" s="35">
        <v>45786.0</v>
      </c>
      <c r="B205" s="23" t="s">
        <v>1</v>
      </c>
      <c r="C205" s="24">
        <v>3063.0</v>
      </c>
      <c r="D205" s="23" t="s">
        <v>21</v>
      </c>
      <c r="E205" s="23" t="s">
        <v>32</v>
      </c>
      <c r="F205" s="23" t="s">
        <v>33</v>
      </c>
      <c r="G205" s="29" t="s">
        <v>34</v>
      </c>
      <c r="H205" s="36"/>
    </row>
    <row r="206" ht="15.75" customHeight="1">
      <c r="A206" s="35">
        <v>45794.0</v>
      </c>
      <c r="B206" s="23" t="s">
        <v>0</v>
      </c>
      <c r="C206" s="24">
        <v>4000.0</v>
      </c>
      <c r="D206" s="23" t="s">
        <v>21</v>
      </c>
      <c r="E206" s="23" t="s">
        <v>18</v>
      </c>
      <c r="F206" s="23" t="s">
        <v>56</v>
      </c>
      <c r="G206" s="38"/>
      <c r="H206" s="36"/>
    </row>
    <row r="207" ht="15.75" customHeight="1">
      <c r="A207" s="35">
        <v>45794.0</v>
      </c>
      <c r="B207" s="23" t="s">
        <v>1</v>
      </c>
      <c r="C207" s="24">
        <v>4000.0</v>
      </c>
      <c r="D207" s="23" t="s">
        <v>21</v>
      </c>
      <c r="E207" s="23" t="s">
        <v>32</v>
      </c>
      <c r="F207" s="37"/>
      <c r="G207" s="38"/>
      <c r="H207" s="36"/>
    </row>
    <row r="208" ht="15.75" customHeight="1">
      <c r="A208" s="35">
        <v>45794.0</v>
      </c>
      <c r="B208" s="23" t="s">
        <v>1</v>
      </c>
      <c r="C208" s="24">
        <v>6400.0</v>
      </c>
      <c r="D208" s="23" t="s">
        <v>21</v>
      </c>
      <c r="E208" s="23" t="s">
        <v>18</v>
      </c>
      <c r="F208" s="23" t="s">
        <v>59</v>
      </c>
      <c r="G208" s="38"/>
      <c r="H208" s="30" t="s">
        <v>75</v>
      </c>
    </row>
    <row r="209" ht="15.75" customHeight="1">
      <c r="A209" s="35">
        <v>45794.0</v>
      </c>
      <c r="B209" s="23" t="s">
        <v>1</v>
      </c>
      <c r="C209" s="24">
        <v>600.0</v>
      </c>
      <c r="D209" s="23" t="s">
        <v>21</v>
      </c>
      <c r="E209" s="23" t="s">
        <v>18</v>
      </c>
      <c r="F209" s="23" t="s">
        <v>0</v>
      </c>
      <c r="G209" s="38"/>
      <c r="H209" s="36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 ht="15.75" customHeight="1">
      <c r="A210" s="59">
        <v>45794.0</v>
      </c>
      <c r="B210" s="60" t="s">
        <v>0</v>
      </c>
      <c r="C210" s="61">
        <v>600.0</v>
      </c>
      <c r="D210" s="62" t="s">
        <v>21</v>
      </c>
      <c r="E210" s="60" t="s">
        <v>32</v>
      </c>
      <c r="F210" s="63" t="s">
        <v>44</v>
      </c>
      <c r="G210" s="64"/>
      <c r="H210" s="65"/>
    </row>
    <row r="211" ht="15.75" customHeight="1">
      <c r="A211" s="35">
        <v>45796.0</v>
      </c>
      <c r="B211" s="23" t="s">
        <v>1</v>
      </c>
      <c r="C211" s="24">
        <v>1766.0</v>
      </c>
      <c r="D211" s="23" t="s">
        <v>21</v>
      </c>
      <c r="E211" s="23" t="s">
        <v>32</v>
      </c>
      <c r="F211" s="23" t="s">
        <v>33</v>
      </c>
      <c r="G211" s="29" t="s">
        <v>34</v>
      </c>
      <c r="H211" s="36"/>
    </row>
    <row r="212" ht="15.75" customHeight="1">
      <c r="A212" s="35">
        <v>45796.0</v>
      </c>
      <c r="B212" s="23" t="s">
        <v>1</v>
      </c>
      <c r="C212" s="24">
        <v>1000.0</v>
      </c>
      <c r="D212" s="23" t="s">
        <v>21</v>
      </c>
      <c r="E212" s="23" t="s">
        <v>18</v>
      </c>
      <c r="F212" s="23" t="s">
        <v>25</v>
      </c>
      <c r="G212" s="38"/>
      <c r="H212" s="36"/>
    </row>
    <row r="213" ht="15.75" customHeight="1">
      <c r="A213" s="35">
        <v>45797.0</v>
      </c>
      <c r="B213" s="23" t="s">
        <v>1</v>
      </c>
      <c r="C213" s="24">
        <v>318.0</v>
      </c>
      <c r="D213" s="23" t="s">
        <v>21</v>
      </c>
      <c r="E213" s="23" t="s">
        <v>18</v>
      </c>
      <c r="F213" s="23" t="s">
        <v>25</v>
      </c>
      <c r="G213" s="38"/>
      <c r="H213" s="36"/>
    </row>
    <row r="214" ht="15.75" customHeight="1">
      <c r="A214" s="35">
        <v>45804.0</v>
      </c>
      <c r="B214" s="23" t="s">
        <v>1</v>
      </c>
      <c r="C214" s="24">
        <v>350.0</v>
      </c>
      <c r="D214" s="23" t="s">
        <v>21</v>
      </c>
      <c r="E214" s="23" t="s">
        <v>18</v>
      </c>
      <c r="F214" s="23" t="s">
        <v>25</v>
      </c>
      <c r="G214" s="38"/>
      <c r="H214" s="36"/>
    </row>
    <row r="215" ht="15.75" customHeight="1">
      <c r="A215" s="35">
        <v>45805.0</v>
      </c>
      <c r="B215" s="23" t="s">
        <v>1</v>
      </c>
      <c r="C215" s="24">
        <v>49.0</v>
      </c>
      <c r="D215" s="23" t="s">
        <v>21</v>
      </c>
      <c r="E215" s="23" t="s">
        <v>18</v>
      </c>
      <c r="F215" s="23" t="s">
        <v>25</v>
      </c>
      <c r="G215" s="38"/>
      <c r="H215" s="36"/>
    </row>
    <row r="216" ht="15.75" customHeight="1">
      <c r="A216" s="35">
        <v>45806.0</v>
      </c>
      <c r="B216" s="23" t="s">
        <v>1</v>
      </c>
      <c r="C216" s="24">
        <v>1086.0</v>
      </c>
      <c r="D216" s="23" t="s">
        <v>21</v>
      </c>
      <c r="E216" s="23" t="s">
        <v>18</v>
      </c>
      <c r="F216" s="23" t="s">
        <v>25</v>
      </c>
      <c r="G216" s="38"/>
      <c r="H216" s="36"/>
    </row>
    <row r="217" ht="15.75" customHeight="1">
      <c r="A217" s="35">
        <v>45806.0</v>
      </c>
      <c r="B217" s="23" t="s">
        <v>1</v>
      </c>
      <c r="C217" s="24">
        <v>5400.0</v>
      </c>
      <c r="D217" s="23" t="s">
        <v>21</v>
      </c>
      <c r="E217" s="23" t="s">
        <v>18</v>
      </c>
      <c r="F217" s="23" t="s">
        <v>63</v>
      </c>
      <c r="G217" s="29" t="s">
        <v>76</v>
      </c>
      <c r="H217" s="30" t="s">
        <v>77</v>
      </c>
    </row>
    <row r="218" ht="15.75" customHeight="1">
      <c r="A218" s="35">
        <v>45807.0</v>
      </c>
      <c r="B218" s="23" t="s">
        <v>1</v>
      </c>
      <c r="C218" s="24">
        <v>88.0</v>
      </c>
      <c r="D218" s="23" t="s">
        <v>21</v>
      </c>
      <c r="E218" s="23" t="s">
        <v>18</v>
      </c>
      <c r="F218" s="23" t="s">
        <v>25</v>
      </c>
      <c r="G218" s="38"/>
      <c r="H218" s="36"/>
    </row>
    <row r="219" ht="15.75" customHeight="1">
      <c r="A219" s="35">
        <v>45808.0</v>
      </c>
      <c r="B219" s="23" t="s">
        <v>1</v>
      </c>
      <c r="C219" s="24">
        <v>333.0</v>
      </c>
      <c r="D219" s="23" t="s">
        <v>21</v>
      </c>
      <c r="E219" s="23" t="s">
        <v>18</v>
      </c>
      <c r="F219" s="23" t="s">
        <v>25</v>
      </c>
      <c r="G219" s="38"/>
      <c r="H219" s="36"/>
    </row>
    <row r="220" ht="15.75" customHeight="1">
      <c r="A220" s="35">
        <v>45808.0</v>
      </c>
      <c r="B220" s="23" t="s">
        <v>1</v>
      </c>
      <c r="C220" s="24">
        <v>2440.0</v>
      </c>
      <c r="D220" s="23" t="s">
        <v>21</v>
      </c>
      <c r="E220" s="23" t="s">
        <v>32</v>
      </c>
      <c r="F220" s="23" t="s">
        <v>33</v>
      </c>
      <c r="G220" s="29" t="s">
        <v>34</v>
      </c>
      <c r="H220" s="36"/>
    </row>
    <row r="221" ht="15.75" customHeight="1">
      <c r="A221" s="35">
        <v>45808.0</v>
      </c>
      <c r="B221" s="23" t="s">
        <v>1</v>
      </c>
      <c r="C221" s="24">
        <v>1157.0</v>
      </c>
      <c r="D221" s="23" t="s">
        <v>21</v>
      </c>
      <c r="E221" s="23" t="s">
        <v>32</v>
      </c>
      <c r="F221" s="23" t="s">
        <v>33</v>
      </c>
      <c r="G221" s="29" t="s">
        <v>76</v>
      </c>
      <c r="H221" s="36"/>
    </row>
    <row r="222" ht="15.75" customHeight="1">
      <c r="A222" s="35">
        <v>45809.0</v>
      </c>
      <c r="B222" s="23" t="s">
        <v>1</v>
      </c>
      <c r="C222" s="24">
        <v>3000.0</v>
      </c>
      <c r="D222" s="23" t="s">
        <v>21</v>
      </c>
      <c r="E222" s="23" t="s">
        <v>32</v>
      </c>
      <c r="F222" s="23" t="s">
        <v>38</v>
      </c>
      <c r="G222" s="29" t="s">
        <v>34</v>
      </c>
      <c r="H222" s="30" t="s">
        <v>78</v>
      </c>
    </row>
    <row r="223" ht="15.75" customHeight="1">
      <c r="A223" s="35">
        <v>45810.0</v>
      </c>
      <c r="B223" s="23" t="s">
        <v>1</v>
      </c>
      <c r="C223" s="24">
        <v>1220.0</v>
      </c>
      <c r="D223" s="23" t="s">
        <v>21</v>
      </c>
      <c r="E223" s="23" t="s">
        <v>18</v>
      </c>
      <c r="F223" s="23" t="s">
        <v>25</v>
      </c>
      <c r="G223" s="38"/>
      <c r="H223" s="36"/>
    </row>
    <row r="224" ht="15.75" customHeight="1">
      <c r="A224" s="35">
        <v>45812.0</v>
      </c>
      <c r="B224" s="23" t="s">
        <v>1</v>
      </c>
      <c r="C224" s="24">
        <v>1771.0</v>
      </c>
      <c r="D224" s="23" t="s">
        <v>21</v>
      </c>
      <c r="E224" s="23" t="s">
        <v>18</v>
      </c>
      <c r="F224" s="23" t="s">
        <v>25</v>
      </c>
      <c r="G224" s="38"/>
      <c r="H224" s="36"/>
    </row>
    <row r="225" ht="15.75" customHeight="1">
      <c r="A225" s="35">
        <v>45813.0</v>
      </c>
      <c r="B225" s="23" t="s">
        <v>1</v>
      </c>
      <c r="C225" s="24">
        <v>1535.0</v>
      </c>
      <c r="D225" s="23" t="s">
        <v>21</v>
      </c>
      <c r="E225" s="23" t="s">
        <v>32</v>
      </c>
      <c r="F225" s="23" t="s">
        <v>33</v>
      </c>
      <c r="G225" s="29" t="s">
        <v>76</v>
      </c>
      <c r="H225" s="36"/>
    </row>
    <row r="226" ht="15.75" customHeight="1">
      <c r="A226" s="35">
        <v>45818.0</v>
      </c>
      <c r="B226" s="23" t="s">
        <v>1</v>
      </c>
      <c r="C226" s="24">
        <v>681.0</v>
      </c>
      <c r="D226" s="23" t="s">
        <v>21</v>
      </c>
      <c r="E226" s="23" t="s">
        <v>18</v>
      </c>
      <c r="F226" s="23" t="s">
        <v>25</v>
      </c>
      <c r="G226" s="31"/>
      <c r="H226" s="36"/>
    </row>
    <row r="227" ht="15.75" customHeight="1">
      <c r="A227" s="35">
        <v>45819.0</v>
      </c>
      <c r="B227" s="23" t="s">
        <v>1</v>
      </c>
      <c r="C227" s="24">
        <v>398.0</v>
      </c>
      <c r="D227" s="23" t="s">
        <v>21</v>
      </c>
      <c r="E227" s="23" t="s">
        <v>18</v>
      </c>
      <c r="F227" s="23" t="s">
        <v>25</v>
      </c>
      <c r="G227" s="31"/>
      <c r="H227" s="36"/>
    </row>
    <row r="228" ht="15.75" customHeight="1">
      <c r="A228" s="35">
        <v>45820.0</v>
      </c>
      <c r="B228" s="23" t="s">
        <v>1</v>
      </c>
      <c r="C228" s="24">
        <v>702.0</v>
      </c>
      <c r="D228" s="23" t="s">
        <v>21</v>
      </c>
      <c r="E228" s="23" t="s">
        <v>18</v>
      </c>
      <c r="F228" s="23" t="s">
        <v>25</v>
      </c>
      <c r="G228" s="31"/>
      <c r="H228" s="36"/>
    </row>
    <row r="229" ht="15.75" customHeight="1">
      <c r="A229" s="35">
        <v>45821.0</v>
      </c>
      <c r="B229" s="23" t="s">
        <v>1</v>
      </c>
      <c r="C229" s="24">
        <v>1303.0</v>
      </c>
      <c r="D229" s="23" t="s">
        <v>21</v>
      </c>
      <c r="E229" s="23" t="s">
        <v>32</v>
      </c>
      <c r="F229" s="23" t="s">
        <v>33</v>
      </c>
      <c r="G229" s="29" t="s">
        <v>79</v>
      </c>
      <c r="H229" s="36"/>
    </row>
    <row r="230" ht="15.75" customHeight="1">
      <c r="A230" s="35">
        <v>45821.0</v>
      </c>
      <c r="B230" s="23" t="s">
        <v>1</v>
      </c>
      <c r="C230" s="24">
        <v>2397.0</v>
      </c>
      <c r="D230" s="23" t="s">
        <v>21</v>
      </c>
      <c r="E230" s="23" t="s">
        <v>32</v>
      </c>
      <c r="F230" s="23" t="s">
        <v>33</v>
      </c>
      <c r="G230" s="29" t="s">
        <v>34</v>
      </c>
      <c r="H230" s="36"/>
    </row>
    <row r="231" ht="15.75" customHeight="1">
      <c r="A231" s="35">
        <v>45821.0</v>
      </c>
      <c r="B231" s="23" t="s">
        <v>1</v>
      </c>
      <c r="C231" s="24">
        <v>3130.0</v>
      </c>
      <c r="D231" s="23" t="s">
        <v>21</v>
      </c>
      <c r="E231" s="23" t="s">
        <v>32</v>
      </c>
      <c r="F231" s="23" t="s">
        <v>33</v>
      </c>
      <c r="G231" s="29" t="s">
        <v>76</v>
      </c>
      <c r="H231" s="36"/>
    </row>
    <row r="232" ht="15.75" customHeight="1">
      <c r="A232" s="35">
        <v>45822.0</v>
      </c>
      <c r="B232" s="23" t="s">
        <v>1</v>
      </c>
      <c r="C232" s="24">
        <v>250.0</v>
      </c>
      <c r="D232" s="23" t="s">
        <v>21</v>
      </c>
      <c r="E232" s="23" t="s">
        <v>18</v>
      </c>
      <c r="F232" s="23" t="s">
        <v>63</v>
      </c>
      <c r="G232" s="29" t="s">
        <v>34</v>
      </c>
      <c r="H232" s="36"/>
    </row>
    <row r="233" ht="15.75" customHeight="1">
      <c r="A233" s="35">
        <v>45822.0</v>
      </c>
      <c r="B233" s="23" t="s">
        <v>1</v>
      </c>
      <c r="C233" s="24">
        <v>900.0</v>
      </c>
      <c r="D233" s="23" t="s">
        <v>21</v>
      </c>
      <c r="E233" s="23" t="s">
        <v>18</v>
      </c>
      <c r="F233" s="23" t="s">
        <v>63</v>
      </c>
      <c r="G233" s="29" t="s">
        <v>79</v>
      </c>
      <c r="H233" s="36"/>
    </row>
    <row r="234" ht="15.75" customHeight="1">
      <c r="A234" s="35">
        <v>45822.0</v>
      </c>
      <c r="B234" s="23" t="s">
        <v>1</v>
      </c>
      <c r="C234" s="24">
        <v>420.0</v>
      </c>
      <c r="D234" s="23" t="s">
        <v>21</v>
      </c>
      <c r="E234" s="23" t="s">
        <v>18</v>
      </c>
      <c r="F234" s="23" t="s">
        <v>72</v>
      </c>
      <c r="G234" s="38"/>
      <c r="H234" s="36"/>
    </row>
    <row r="235" ht="15.75" customHeight="1">
      <c r="A235" s="35">
        <v>45822.0</v>
      </c>
      <c r="B235" s="23" t="s">
        <v>1</v>
      </c>
      <c r="C235" s="24">
        <v>1100.0</v>
      </c>
      <c r="D235" s="23" t="s">
        <v>21</v>
      </c>
      <c r="E235" s="23" t="s">
        <v>18</v>
      </c>
      <c r="F235" s="23" t="s">
        <v>25</v>
      </c>
      <c r="G235" s="38"/>
      <c r="H235" s="36"/>
    </row>
    <row r="236" ht="15.75" customHeight="1">
      <c r="A236" s="52">
        <v>45759.0</v>
      </c>
      <c r="B236" s="53" t="s">
        <v>1</v>
      </c>
      <c r="C236" s="54">
        <v>550.0</v>
      </c>
      <c r="D236" s="53" t="s">
        <v>21</v>
      </c>
      <c r="E236" s="53" t="s">
        <v>18</v>
      </c>
      <c r="F236" s="55"/>
      <c r="G236" s="56"/>
      <c r="H236" s="57" t="s">
        <v>62</v>
      </c>
    </row>
    <row r="237" ht="15.75" customHeight="1">
      <c r="A237" s="35">
        <v>45824.0</v>
      </c>
      <c r="B237" s="23" t="s">
        <v>1</v>
      </c>
      <c r="C237" s="24">
        <v>924.0</v>
      </c>
      <c r="D237" s="23" t="s">
        <v>21</v>
      </c>
      <c r="E237" s="23" t="s">
        <v>18</v>
      </c>
      <c r="F237" s="23" t="s">
        <v>25</v>
      </c>
      <c r="G237" s="38"/>
      <c r="H237" s="36"/>
    </row>
    <row r="238" ht="15.75" customHeight="1">
      <c r="A238" s="35">
        <v>45824.0</v>
      </c>
      <c r="B238" s="23" t="s">
        <v>1</v>
      </c>
      <c r="C238" s="24">
        <v>1200.0</v>
      </c>
      <c r="D238" s="23" t="s">
        <v>21</v>
      </c>
      <c r="E238" s="23" t="s">
        <v>32</v>
      </c>
      <c r="F238" s="23" t="s">
        <v>33</v>
      </c>
      <c r="G238" s="29" t="s">
        <v>79</v>
      </c>
      <c r="H238" s="36"/>
    </row>
    <row r="239" ht="15.75" customHeight="1">
      <c r="A239" s="59">
        <v>45825.0</v>
      </c>
      <c r="B239" s="66" t="s">
        <v>1</v>
      </c>
      <c r="C239" s="61">
        <v>513.0</v>
      </c>
      <c r="D239" s="67" t="s">
        <v>21</v>
      </c>
      <c r="E239" s="66" t="s">
        <v>18</v>
      </c>
      <c r="F239" s="68" t="s">
        <v>25</v>
      </c>
      <c r="G239" s="69"/>
      <c r="H239" s="65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</row>
    <row r="240" ht="15.75" customHeight="1">
      <c r="A240" s="70">
        <v>45826.0</v>
      </c>
      <c r="B240" s="60" t="s">
        <v>1</v>
      </c>
      <c r="C240" s="71">
        <v>801.0</v>
      </c>
      <c r="D240" s="72" t="s">
        <v>21</v>
      </c>
      <c r="E240" s="60" t="s">
        <v>18</v>
      </c>
      <c r="F240" s="63" t="s">
        <v>25</v>
      </c>
      <c r="G240" s="64"/>
      <c r="H240" s="73"/>
    </row>
    <row r="241" ht="15.75" customHeight="1">
      <c r="A241" s="70">
        <v>45827.0</v>
      </c>
      <c r="B241" s="60" t="s">
        <v>1</v>
      </c>
      <c r="C241" s="71">
        <v>896.0</v>
      </c>
      <c r="D241" s="72" t="s">
        <v>21</v>
      </c>
      <c r="E241" s="60" t="s">
        <v>18</v>
      </c>
      <c r="F241" s="63" t="s">
        <v>25</v>
      </c>
      <c r="G241" s="64"/>
      <c r="H241" s="73"/>
    </row>
    <row r="242" ht="15.75" customHeight="1">
      <c r="A242" s="35">
        <v>45828.0</v>
      </c>
      <c r="B242" s="23" t="s">
        <v>1</v>
      </c>
      <c r="C242" s="24">
        <v>3435.0</v>
      </c>
      <c r="D242" s="23" t="s">
        <v>21</v>
      </c>
      <c r="E242" s="23" t="s">
        <v>32</v>
      </c>
      <c r="F242" s="23" t="s">
        <v>33</v>
      </c>
      <c r="G242" s="29" t="s">
        <v>76</v>
      </c>
      <c r="H242" s="36"/>
    </row>
    <row r="243" ht="15.75" customHeight="1">
      <c r="A243" s="35">
        <v>45829.0</v>
      </c>
      <c r="B243" s="23" t="s">
        <v>1</v>
      </c>
      <c r="C243" s="24">
        <v>530.0</v>
      </c>
      <c r="D243" s="23" t="s">
        <v>21</v>
      </c>
      <c r="E243" s="23" t="s">
        <v>18</v>
      </c>
      <c r="F243" s="23" t="s">
        <v>25</v>
      </c>
      <c r="G243" s="38"/>
      <c r="H243" s="36"/>
    </row>
    <row r="244" ht="15.75" customHeight="1">
      <c r="A244" s="35">
        <v>45830.0</v>
      </c>
      <c r="B244" s="23" t="s">
        <v>1</v>
      </c>
      <c r="C244" s="24">
        <v>2332.0</v>
      </c>
      <c r="D244" s="23" t="s">
        <v>21</v>
      </c>
      <c r="E244" s="23" t="s">
        <v>32</v>
      </c>
      <c r="F244" s="23" t="s">
        <v>33</v>
      </c>
      <c r="G244" s="29" t="s">
        <v>34</v>
      </c>
      <c r="H244" s="36"/>
    </row>
    <row r="245" ht="15.75" customHeight="1">
      <c r="A245" s="35">
        <v>45831.0</v>
      </c>
      <c r="B245" s="23" t="s">
        <v>1</v>
      </c>
      <c r="C245" s="24">
        <v>1840.0</v>
      </c>
      <c r="D245" s="23" t="s">
        <v>21</v>
      </c>
      <c r="E245" s="23" t="s">
        <v>18</v>
      </c>
      <c r="F245" s="23" t="s">
        <v>72</v>
      </c>
      <c r="G245" s="38"/>
      <c r="H245" s="36"/>
    </row>
    <row r="246" ht="15.75" customHeight="1">
      <c r="A246" s="35">
        <v>45832.0</v>
      </c>
      <c r="B246" s="23" t="s">
        <v>1</v>
      </c>
      <c r="C246" s="24">
        <v>598.0</v>
      </c>
      <c r="D246" s="23" t="s">
        <v>21</v>
      </c>
      <c r="E246" s="23" t="s">
        <v>18</v>
      </c>
      <c r="F246" s="23" t="s">
        <v>25</v>
      </c>
      <c r="G246" s="38"/>
      <c r="H246" s="36"/>
    </row>
    <row r="247" ht="15.75" customHeight="1">
      <c r="A247" s="35">
        <v>45833.0</v>
      </c>
      <c r="B247" s="23" t="s">
        <v>1</v>
      </c>
      <c r="C247" s="24">
        <v>595.0</v>
      </c>
      <c r="D247" s="23" t="s">
        <v>21</v>
      </c>
      <c r="E247" s="23" t="s">
        <v>18</v>
      </c>
      <c r="F247" s="23" t="s">
        <v>25</v>
      </c>
      <c r="G247" s="38"/>
      <c r="H247" s="36"/>
    </row>
    <row r="248" ht="15.75" customHeight="1">
      <c r="A248" s="35">
        <v>45834.0</v>
      </c>
      <c r="B248" s="23" t="s">
        <v>1</v>
      </c>
      <c r="C248" s="24">
        <v>696.0</v>
      </c>
      <c r="D248" s="23" t="s">
        <v>21</v>
      </c>
      <c r="E248" s="23" t="s">
        <v>18</v>
      </c>
      <c r="F248" s="23" t="s">
        <v>25</v>
      </c>
      <c r="G248" s="38"/>
      <c r="H248" s="36"/>
    </row>
    <row r="249" ht="15.75" customHeight="1">
      <c r="A249" s="35">
        <v>45836.0</v>
      </c>
      <c r="B249" s="23" t="s">
        <v>1</v>
      </c>
      <c r="C249" s="24">
        <v>145.0</v>
      </c>
      <c r="D249" s="23" t="s">
        <v>21</v>
      </c>
      <c r="E249" s="23" t="s">
        <v>18</v>
      </c>
      <c r="F249" s="23" t="s">
        <v>25</v>
      </c>
      <c r="G249" s="38"/>
      <c r="H249" s="36"/>
    </row>
    <row r="250" ht="15.75" customHeight="1">
      <c r="A250" s="35">
        <v>45838.0</v>
      </c>
      <c r="B250" s="23" t="s">
        <v>1</v>
      </c>
      <c r="C250" s="24">
        <v>207.0</v>
      </c>
      <c r="D250" s="23" t="s">
        <v>21</v>
      </c>
      <c r="E250" s="23" t="s">
        <v>18</v>
      </c>
      <c r="F250" s="23" t="s">
        <v>25</v>
      </c>
      <c r="G250" s="38"/>
      <c r="H250" s="36"/>
    </row>
    <row r="251" ht="15.75" customHeight="1">
      <c r="A251" s="35">
        <v>45838.0</v>
      </c>
      <c r="B251" s="23" t="s">
        <v>1</v>
      </c>
      <c r="C251" s="24">
        <v>3313.0</v>
      </c>
      <c r="D251" s="23" t="s">
        <v>21</v>
      </c>
      <c r="E251" s="23" t="s">
        <v>32</v>
      </c>
      <c r="F251" s="23" t="s">
        <v>33</v>
      </c>
      <c r="G251" s="29" t="s">
        <v>76</v>
      </c>
      <c r="H251" s="36"/>
    </row>
    <row r="252" ht="15.75" customHeight="1">
      <c r="A252" s="35">
        <v>45838.0</v>
      </c>
      <c r="B252" s="23" t="s">
        <v>1</v>
      </c>
      <c r="C252" s="24">
        <v>2467.0</v>
      </c>
      <c r="D252" s="23" t="s">
        <v>21</v>
      </c>
      <c r="E252" s="23" t="s">
        <v>32</v>
      </c>
      <c r="F252" s="23" t="s">
        <v>33</v>
      </c>
      <c r="G252" s="29" t="s">
        <v>34</v>
      </c>
      <c r="H252" s="36"/>
    </row>
    <row r="253" ht="15.75" customHeight="1">
      <c r="A253" s="35">
        <v>45839.0</v>
      </c>
      <c r="B253" s="23" t="s">
        <v>1</v>
      </c>
      <c r="C253" s="24">
        <v>462.0</v>
      </c>
      <c r="D253" s="23" t="s">
        <v>21</v>
      </c>
      <c r="E253" s="23" t="s">
        <v>18</v>
      </c>
      <c r="F253" s="23" t="s">
        <v>25</v>
      </c>
      <c r="G253" s="38"/>
      <c r="H253" s="36"/>
    </row>
    <row r="254" ht="15.75" customHeight="1">
      <c r="A254" s="35">
        <v>45840.0</v>
      </c>
      <c r="B254" s="23" t="s">
        <v>1</v>
      </c>
      <c r="C254" s="24">
        <v>188.0</v>
      </c>
      <c r="D254" s="23" t="s">
        <v>21</v>
      </c>
      <c r="E254" s="23" t="s">
        <v>18</v>
      </c>
      <c r="F254" s="23" t="s">
        <v>25</v>
      </c>
      <c r="G254" s="38"/>
      <c r="H254" s="36"/>
    </row>
    <row r="255" ht="15.75" customHeight="1">
      <c r="A255" s="35">
        <v>45841.0</v>
      </c>
      <c r="B255" s="23" t="s">
        <v>1</v>
      </c>
      <c r="C255" s="24">
        <v>870.0</v>
      </c>
      <c r="D255" s="23" t="s">
        <v>21</v>
      </c>
      <c r="E255" s="23" t="s">
        <v>18</v>
      </c>
      <c r="F255" s="23" t="s">
        <v>25</v>
      </c>
      <c r="G255" s="38"/>
      <c r="H255" s="36"/>
    </row>
    <row r="256" ht="15.75" customHeight="1">
      <c r="A256" s="35">
        <v>45843.0</v>
      </c>
      <c r="B256" s="23" t="s">
        <v>1</v>
      </c>
      <c r="C256" s="24">
        <v>768.0</v>
      </c>
      <c r="D256" s="23" t="s">
        <v>21</v>
      </c>
      <c r="E256" s="23" t="s">
        <v>18</v>
      </c>
      <c r="F256" s="23" t="s">
        <v>25</v>
      </c>
      <c r="G256" s="38"/>
      <c r="H256" s="36"/>
    </row>
    <row r="257" ht="15.75" customHeight="1">
      <c r="A257" s="35">
        <v>45845.0</v>
      </c>
      <c r="B257" s="23" t="s">
        <v>1</v>
      </c>
      <c r="C257" s="24">
        <v>1024.0</v>
      </c>
      <c r="D257" s="23" t="s">
        <v>21</v>
      </c>
      <c r="E257" s="23" t="s">
        <v>18</v>
      </c>
      <c r="F257" s="23" t="s">
        <v>25</v>
      </c>
      <c r="G257" s="38"/>
      <c r="H257" s="36"/>
    </row>
    <row r="258" ht="15.75" customHeight="1">
      <c r="A258" s="35">
        <v>45847.0</v>
      </c>
      <c r="B258" s="23" t="s">
        <v>1</v>
      </c>
      <c r="C258" s="24">
        <v>12.0</v>
      </c>
      <c r="D258" s="23" t="s">
        <v>21</v>
      </c>
      <c r="E258" s="23" t="s">
        <v>18</v>
      </c>
      <c r="F258" s="23" t="s">
        <v>25</v>
      </c>
      <c r="G258" s="38"/>
      <c r="H258" s="36"/>
    </row>
    <row r="259" ht="15.75" customHeight="1">
      <c r="A259" s="35">
        <v>45848.0</v>
      </c>
      <c r="B259" s="23" t="s">
        <v>1</v>
      </c>
      <c r="C259" s="24">
        <v>729.0</v>
      </c>
      <c r="D259" s="23" t="s">
        <v>21</v>
      </c>
      <c r="E259" s="23" t="s">
        <v>18</v>
      </c>
      <c r="F259" s="23" t="s">
        <v>25</v>
      </c>
      <c r="G259" s="38"/>
      <c r="H259" s="36"/>
    </row>
    <row r="260" ht="15.75" customHeight="1">
      <c r="A260" s="35">
        <v>45850.0</v>
      </c>
      <c r="B260" s="23" t="s">
        <v>1</v>
      </c>
      <c r="C260" s="24">
        <v>3420.0</v>
      </c>
      <c r="D260" s="23" t="s">
        <v>21</v>
      </c>
      <c r="E260" s="23" t="s">
        <v>32</v>
      </c>
      <c r="F260" s="23" t="s">
        <v>33</v>
      </c>
      <c r="G260" s="29" t="s">
        <v>76</v>
      </c>
      <c r="H260" s="36"/>
    </row>
    <row r="261" ht="15.75" customHeight="1">
      <c r="A261" s="35">
        <v>45850.0</v>
      </c>
      <c r="B261" s="23" t="s">
        <v>1</v>
      </c>
      <c r="C261" s="24">
        <v>2936.0</v>
      </c>
      <c r="D261" s="23" t="s">
        <v>21</v>
      </c>
      <c r="E261" s="23" t="s">
        <v>32</v>
      </c>
      <c r="F261" s="23" t="s">
        <v>33</v>
      </c>
      <c r="G261" s="29" t="s">
        <v>34</v>
      </c>
      <c r="H261" s="36"/>
    </row>
    <row r="262" ht="15.75" customHeight="1">
      <c r="A262" s="35">
        <v>45852.0</v>
      </c>
      <c r="B262" s="23" t="s">
        <v>1</v>
      </c>
      <c r="C262" s="24">
        <v>298.0</v>
      </c>
      <c r="D262" s="23" t="s">
        <v>21</v>
      </c>
      <c r="E262" s="23" t="s">
        <v>18</v>
      </c>
      <c r="F262" s="23" t="s">
        <v>25</v>
      </c>
      <c r="G262" s="38"/>
      <c r="H262" s="36"/>
    </row>
    <row r="263" ht="15.75" customHeight="1">
      <c r="A263" s="35">
        <v>45853.0</v>
      </c>
      <c r="B263" s="23" t="s">
        <v>1</v>
      </c>
      <c r="C263" s="24">
        <v>1618.0</v>
      </c>
      <c r="D263" s="23" t="s">
        <v>21</v>
      </c>
      <c r="E263" s="23" t="s">
        <v>18</v>
      </c>
      <c r="F263" s="23" t="s">
        <v>25</v>
      </c>
      <c r="G263" s="38"/>
      <c r="H263" s="36"/>
    </row>
    <row r="264" ht="15.75" customHeight="1">
      <c r="A264" s="35">
        <v>45853.0</v>
      </c>
      <c r="B264" s="23" t="s">
        <v>1</v>
      </c>
      <c r="C264" s="24">
        <v>300.0</v>
      </c>
      <c r="D264" s="23" t="s">
        <v>21</v>
      </c>
      <c r="E264" s="23" t="s">
        <v>18</v>
      </c>
      <c r="F264" s="37"/>
      <c r="G264" s="38"/>
      <c r="H264" s="30" t="s">
        <v>80</v>
      </c>
    </row>
    <row r="265" ht="15.75" customHeight="1">
      <c r="A265" s="35">
        <v>45855.0</v>
      </c>
      <c r="B265" s="23" t="s">
        <v>1</v>
      </c>
      <c r="C265" s="24">
        <v>786.0</v>
      </c>
      <c r="D265" s="23" t="s">
        <v>21</v>
      </c>
      <c r="E265" s="23" t="s">
        <v>18</v>
      </c>
      <c r="F265" s="23" t="s">
        <v>25</v>
      </c>
      <c r="G265" s="38"/>
      <c r="H265" s="36"/>
    </row>
    <row r="266" ht="15.75" customHeight="1">
      <c r="A266" s="35">
        <v>45857.0</v>
      </c>
      <c r="B266" s="23" t="s">
        <v>1</v>
      </c>
      <c r="C266" s="24">
        <v>563.0</v>
      </c>
      <c r="D266" s="23" t="s">
        <v>21</v>
      </c>
      <c r="E266" s="23" t="s">
        <v>18</v>
      </c>
      <c r="F266" s="23" t="s">
        <v>25</v>
      </c>
      <c r="G266" s="38"/>
      <c r="H266" s="36"/>
    </row>
    <row r="267" ht="15.75" customHeight="1">
      <c r="A267" s="35">
        <v>45858.0</v>
      </c>
      <c r="B267" s="23" t="s">
        <v>1</v>
      </c>
      <c r="C267" s="24">
        <v>266.0</v>
      </c>
      <c r="D267" s="23" t="s">
        <v>21</v>
      </c>
      <c r="E267" s="23" t="s">
        <v>18</v>
      </c>
      <c r="F267" s="23" t="s">
        <v>25</v>
      </c>
      <c r="G267" s="38"/>
      <c r="H267" s="36"/>
    </row>
    <row r="268" ht="15.75" customHeight="1">
      <c r="A268" s="35">
        <v>45858.0</v>
      </c>
      <c r="B268" s="23" t="s">
        <v>1</v>
      </c>
      <c r="C268" s="24">
        <v>2000.0</v>
      </c>
      <c r="D268" s="23" t="s">
        <v>21</v>
      </c>
      <c r="E268" s="23" t="s">
        <v>18</v>
      </c>
      <c r="F268" s="23" t="s">
        <v>72</v>
      </c>
      <c r="G268" s="38"/>
      <c r="H268" s="36"/>
    </row>
    <row r="269" ht="15.75" customHeight="1">
      <c r="A269" s="35">
        <v>45859.0</v>
      </c>
      <c r="B269" s="23" t="s">
        <v>1</v>
      </c>
      <c r="C269" s="24">
        <v>961.0</v>
      </c>
      <c r="D269" s="23" t="s">
        <v>21</v>
      </c>
      <c r="E269" s="23" t="s">
        <v>18</v>
      </c>
      <c r="F269" s="23" t="s">
        <v>25</v>
      </c>
      <c r="G269" s="38"/>
      <c r="H269" s="36"/>
    </row>
    <row r="270" ht="15.75" customHeight="1">
      <c r="A270" s="35">
        <v>45860.0</v>
      </c>
      <c r="B270" s="23" t="s">
        <v>1</v>
      </c>
      <c r="C270" s="24">
        <v>622.0</v>
      </c>
      <c r="D270" s="23" t="s">
        <v>21</v>
      </c>
      <c r="E270" s="23" t="s">
        <v>18</v>
      </c>
      <c r="F270" s="23" t="s">
        <v>25</v>
      </c>
      <c r="G270" s="38"/>
      <c r="H270" s="36"/>
    </row>
    <row r="271" ht="15.75" customHeight="1">
      <c r="A271" s="35">
        <v>45860.0</v>
      </c>
      <c r="B271" s="23" t="s">
        <v>1</v>
      </c>
      <c r="C271" s="24">
        <v>420.0</v>
      </c>
      <c r="D271" s="23" t="s">
        <v>21</v>
      </c>
      <c r="E271" s="23" t="s">
        <v>18</v>
      </c>
      <c r="F271" s="23" t="s">
        <v>72</v>
      </c>
      <c r="G271" s="38"/>
      <c r="H271" s="36"/>
    </row>
    <row r="272" ht="15.75" customHeight="1">
      <c r="A272" s="35">
        <v>45860.0</v>
      </c>
      <c r="B272" s="23" t="s">
        <v>1</v>
      </c>
      <c r="C272" s="24">
        <v>592.0</v>
      </c>
      <c r="D272" s="23" t="s">
        <v>21</v>
      </c>
      <c r="E272" s="23" t="s">
        <v>18</v>
      </c>
      <c r="F272" s="23" t="s">
        <v>25</v>
      </c>
      <c r="G272" s="38"/>
      <c r="H272" s="36"/>
    </row>
    <row r="273" ht="15.75" customHeight="1">
      <c r="A273" s="35">
        <v>45862.0</v>
      </c>
      <c r="B273" s="23" t="s">
        <v>1</v>
      </c>
      <c r="C273" s="24">
        <v>130.0</v>
      </c>
      <c r="D273" s="23" t="s">
        <v>21</v>
      </c>
      <c r="E273" s="23" t="s">
        <v>18</v>
      </c>
      <c r="F273" s="23" t="s">
        <v>25</v>
      </c>
      <c r="G273" s="38"/>
      <c r="H273" s="36"/>
    </row>
    <row r="274" ht="15.75" customHeight="1">
      <c r="A274" s="35">
        <v>45863.0</v>
      </c>
      <c r="B274" s="23" t="s">
        <v>1</v>
      </c>
      <c r="C274" s="24">
        <v>3712.0</v>
      </c>
      <c r="D274" s="23" t="s">
        <v>21</v>
      </c>
      <c r="E274" s="23" t="s">
        <v>32</v>
      </c>
      <c r="F274" s="23" t="s">
        <v>33</v>
      </c>
      <c r="G274" s="29" t="s">
        <v>76</v>
      </c>
      <c r="H274" s="36"/>
    </row>
    <row r="275" ht="15.75" customHeight="1">
      <c r="A275" s="35">
        <v>45864.0</v>
      </c>
      <c r="B275" s="23" t="s">
        <v>1</v>
      </c>
      <c r="C275" s="24">
        <v>341.0</v>
      </c>
      <c r="D275" s="23" t="s">
        <v>21</v>
      </c>
      <c r="E275" s="23" t="s">
        <v>18</v>
      </c>
      <c r="F275" s="23" t="s">
        <v>25</v>
      </c>
      <c r="G275" s="38"/>
      <c r="H275" s="36"/>
    </row>
    <row r="276" ht="15.75" customHeight="1">
      <c r="A276" s="74">
        <v>45864.0</v>
      </c>
      <c r="B276" s="75" t="s">
        <v>1</v>
      </c>
      <c r="C276" s="76">
        <v>2279.0</v>
      </c>
      <c r="D276" s="75" t="s">
        <v>21</v>
      </c>
      <c r="E276" s="75" t="s">
        <v>18</v>
      </c>
      <c r="F276" s="77"/>
      <c r="G276" s="78"/>
      <c r="H276" s="79" t="s">
        <v>41</v>
      </c>
    </row>
    <row r="277" ht="15.75" customHeight="1">
      <c r="A277" s="35">
        <v>45865.0</v>
      </c>
      <c r="B277" s="23" t="s">
        <v>1</v>
      </c>
      <c r="C277" s="24">
        <v>3000.0</v>
      </c>
      <c r="D277" s="23" t="s">
        <v>21</v>
      </c>
      <c r="E277" s="23" t="s">
        <v>32</v>
      </c>
      <c r="F277" s="23" t="s">
        <v>38</v>
      </c>
      <c r="G277" s="29" t="s">
        <v>76</v>
      </c>
      <c r="H277" s="30" t="s">
        <v>81</v>
      </c>
    </row>
    <row r="278" ht="15.75" customHeight="1">
      <c r="A278" s="35">
        <v>45865.0</v>
      </c>
      <c r="B278" s="23" t="s">
        <v>1</v>
      </c>
      <c r="C278" s="24">
        <v>401.0</v>
      </c>
      <c r="D278" s="23" t="s">
        <v>21</v>
      </c>
      <c r="E278" s="23" t="s">
        <v>18</v>
      </c>
      <c r="F278" s="23" t="s">
        <v>25</v>
      </c>
      <c r="G278" s="38"/>
      <c r="H278" s="36"/>
    </row>
    <row r="279" ht="15.75" customHeight="1">
      <c r="A279" s="35">
        <v>45867.0</v>
      </c>
      <c r="B279" s="23" t="s">
        <v>1</v>
      </c>
      <c r="C279" s="24">
        <v>568.0</v>
      </c>
      <c r="D279" s="23" t="s">
        <v>21</v>
      </c>
      <c r="E279" s="23" t="s">
        <v>18</v>
      </c>
      <c r="F279" s="23" t="s">
        <v>25</v>
      </c>
      <c r="G279" s="38"/>
      <c r="H279" s="36"/>
    </row>
    <row r="280" ht="15.75" customHeight="1">
      <c r="A280" s="35">
        <v>45869.0</v>
      </c>
      <c r="B280" s="23" t="s">
        <v>1</v>
      </c>
      <c r="C280" s="24">
        <v>3323.0</v>
      </c>
      <c r="D280" s="23" t="s">
        <v>21</v>
      </c>
      <c r="E280" s="23" t="s">
        <v>32</v>
      </c>
      <c r="F280" s="23" t="s">
        <v>33</v>
      </c>
      <c r="G280" s="29" t="s">
        <v>82</v>
      </c>
      <c r="H280" s="36"/>
    </row>
    <row r="281" ht="15.75" customHeight="1">
      <c r="A281" s="35">
        <v>45869.0</v>
      </c>
      <c r="B281" s="23" t="s">
        <v>1</v>
      </c>
      <c r="C281" s="24">
        <v>1561.0</v>
      </c>
      <c r="D281" s="23" t="s">
        <v>21</v>
      </c>
      <c r="E281" s="23" t="s">
        <v>32</v>
      </c>
      <c r="F281" s="23" t="s">
        <v>33</v>
      </c>
      <c r="G281" s="29" t="s">
        <v>76</v>
      </c>
      <c r="H281" s="36"/>
    </row>
    <row r="282" ht="15.75" customHeight="1">
      <c r="A282" s="35">
        <v>45869.0</v>
      </c>
      <c r="B282" s="23" t="s">
        <v>1</v>
      </c>
      <c r="C282" s="24">
        <v>4498.0</v>
      </c>
      <c r="D282" s="23" t="s">
        <v>21</v>
      </c>
      <c r="E282" s="23" t="s">
        <v>32</v>
      </c>
      <c r="F282" s="23" t="s">
        <v>33</v>
      </c>
      <c r="G282" s="29" t="s">
        <v>34</v>
      </c>
      <c r="H282" s="36"/>
    </row>
    <row r="283" ht="15.75" customHeight="1">
      <c r="A283" s="35">
        <v>45870.0</v>
      </c>
      <c r="B283" s="23" t="s">
        <v>1</v>
      </c>
      <c r="C283" s="24">
        <v>188.0</v>
      </c>
      <c r="D283" s="23" t="s">
        <v>21</v>
      </c>
      <c r="E283" s="23" t="s">
        <v>18</v>
      </c>
      <c r="F283" s="23" t="s">
        <v>25</v>
      </c>
      <c r="G283" s="31"/>
      <c r="H283" s="36"/>
    </row>
    <row r="284" ht="15.75" customHeight="1">
      <c r="A284" s="35">
        <v>45871.0</v>
      </c>
      <c r="B284" s="23" t="s">
        <v>1</v>
      </c>
      <c r="C284" s="24">
        <v>170.0</v>
      </c>
      <c r="D284" s="23" t="s">
        <v>21</v>
      </c>
      <c r="E284" s="23" t="s">
        <v>18</v>
      </c>
      <c r="F284" s="23" t="s">
        <v>0</v>
      </c>
      <c r="G284" s="38"/>
      <c r="H284" s="36"/>
    </row>
    <row r="285" ht="15.75" customHeight="1">
      <c r="A285" s="35">
        <v>45871.0</v>
      </c>
      <c r="B285" s="23" t="s">
        <v>0</v>
      </c>
      <c r="C285" s="24">
        <v>170.0</v>
      </c>
      <c r="D285" s="23" t="s">
        <v>21</v>
      </c>
      <c r="E285" s="23" t="s">
        <v>32</v>
      </c>
      <c r="F285" s="23" t="s">
        <v>44</v>
      </c>
      <c r="G285" s="38"/>
      <c r="H285" s="36"/>
    </row>
    <row r="286" ht="15.75" customHeight="1">
      <c r="A286" s="35">
        <v>45871.0</v>
      </c>
      <c r="B286" s="23" t="s">
        <v>1</v>
      </c>
      <c r="C286" s="24">
        <v>571.0</v>
      </c>
      <c r="D286" s="23" t="s">
        <v>21</v>
      </c>
      <c r="E286" s="23" t="s">
        <v>18</v>
      </c>
      <c r="F286" s="23" t="s">
        <v>25</v>
      </c>
      <c r="G286" s="38"/>
      <c r="H286" s="36"/>
    </row>
    <row r="287" ht="15.75" customHeight="1">
      <c r="A287" s="35">
        <v>45872.0</v>
      </c>
      <c r="B287" s="23" t="s">
        <v>1</v>
      </c>
      <c r="C287" s="24">
        <v>251.0</v>
      </c>
      <c r="D287" s="23" t="s">
        <v>21</v>
      </c>
      <c r="E287" s="23" t="s">
        <v>18</v>
      </c>
      <c r="F287" s="23" t="s">
        <v>25</v>
      </c>
      <c r="G287" s="31"/>
      <c r="H287" s="36"/>
    </row>
    <row r="288" ht="15.75" customHeight="1">
      <c r="A288" s="35">
        <v>45873.0</v>
      </c>
      <c r="B288" s="23" t="s">
        <v>1</v>
      </c>
      <c r="C288" s="24">
        <v>352.0</v>
      </c>
      <c r="D288" s="23" t="s">
        <v>21</v>
      </c>
      <c r="E288" s="23" t="s">
        <v>18</v>
      </c>
      <c r="F288" s="23" t="s">
        <v>25</v>
      </c>
      <c r="G288" s="38"/>
      <c r="H288" s="36"/>
    </row>
    <row r="289" ht="15.75" customHeight="1">
      <c r="A289" s="35">
        <v>45873.0</v>
      </c>
      <c r="B289" s="23" t="s">
        <v>1</v>
      </c>
      <c r="C289" s="24">
        <v>2007.0</v>
      </c>
      <c r="D289" s="23" t="s">
        <v>21</v>
      </c>
      <c r="E289" s="23" t="s">
        <v>18</v>
      </c>
      <c r="F289" s="25"/>
      <c r="G289" s="38"/>
      <c r="H289" s="30" t="s">
        <v>83</v>
      </c>
    </row>
    <row r="290" ht="15.75" customHeight="1">
      <c r="A290" s="35">
        <v>45874.0</v>
      </c>
      <c r="B290" s="23" t="s">
        <v>1</v>
      </c>
      <c r="C290" s="24">
        <v>707.0</v>
      </c>
      <c r="D290" s="23" t="s">
        <v>21</v>
      </c>
      <c r="E290" s="23" t="s">
        <v>18</v>
      </c>
      <c r="F290" s="23" t="s">
        <v>25</v>
      </c>
      <c r="G290" s="38"/>
      <c r="H290" s="36"/>
    </row>
    <row r="291" ht="15.75" customHeight="1">
      <c r="A291" s="35">
        <v>45876.0</v>
      </c>
      <c r="B291" s="23" t="s">
        <v>1</v>
      </c>
      <c r="C291" s="24">
        <v>817.0</v>
      </c>
      <c r="D291" s="23" t="s">
        <v>21</v>
      </c>
      <c r="E291" s="23" t="s">
        <v>18</v>
      </c>
      <c r="F291" s="23" t="s">
        <v>25</v>
      </c>
      <c r="G291" s="38"/>
      <c r="H291" s="36"/>
    </row>
    <row r="292" ht="15.75" customHeight="1">
      <c r="A292" s="35">
        <v>45880.0</v>
      </c>
      <c r="B292" s="23" t="s">
        <v>1</v>
      </c>
      <c r="C292" s="24">
        <v>3232.0</v>
      </c>
      <c r="D292" s="23" t="s">
        <v>21</v>
      </c>
      <c r="E292" s="23" t="s">
        <v>32</v>
      </c>
      <c r="F292" s="23" t="s">
        <v>33</v>
      </c>
      <c r="G292" s="29" t="s">
        <v>76</v>
      </c>
      <c r="H292" s="36"/>
    </row>
    <row r="293" ht="15.75" customHeight="1">
      <c r="A293" s="35">
        <v>45880.0</v>
      </c>
      <c r="B293" s="23" t="s">
        <v>1</v>
      </c>
      <c r="C293" s="24">
        <v>211.0</v>
      </c>
      <c r="D293" s="23" t="s">
        <v>21</v>
      </c>
      <c r="E293" s="23" t="s">
        <v>18</v>
      </c>
      <c r="F293" s="23" t="s">
        <v>25</v>
      </c>
      <c r="G293" s="38"/>
      <c r="H293" s="36"/>
    </row>
    <row r="294" ht="15.75" customHeight="1">
      <c r="A294" s="35">
        <v>45881.0</v>
      </c>
      <c r="B294" s="23" t="s">
        <v>1</v>
      </c>
      <c r="C294" s="24">
        <v>774.0</v>
      </c>
      <c r="D294" s="23" t="s">
        <v>21</v>
      </c>
      <c r="E294" s="23" t="s">
        <v>18</v>
      </c>
      <c r="F294" s="23" t="s">
        <v>25</v>
      </c>
      <c r="G294" s="38"/>
      <c r="H294" s="36"/>
    </row>
    <row r="295" ht="15.75" customHeight="1">
      <c r="A295" s="35">
        <v>45882.0</v>
      </c>
      <c r="B295" s="23" t="s">
        <v>1</v>
      </c>
      <c r="C295" s="24">
        <v>362.0</v>
      </c>
      <c r="D295" s="23" t="s">
        <v>21</v>
      </c>
      <c r="E295" s="23" t="s">
        <v>18</v>
      </c>
      <c r="F295" s="23" t="s">
        <v>25</v>
      </c>
      <c r="G295" s="38"/>
      <c r="H295" s="36"/>
    </row>
    <row r="296" ht="15.75" customHeight="1">
      <c r="A296" s="35">
        <v>45883.0</v>
      </c>
      <c r="B296" s="23" t="s">
        <v>1</v>
      </c>
      <c r="C296" s="24">
        <v>796.0</v>
      </c>
      <c r="D296" s="23" t="s">
        <v>21</v>
      </c>
      <c r="E296" s="23" t="s">
        <v>18</v>
      </c>
      <c r="F296" s="23" t="s">
        <v>25</v>
      </c>
      <c r="G296" s="38"/>
      <c r="H296" s="36"/>
    </row>
    <row r="297" ht="15.75" customHeight="1">
      <c r="A297" s="35">
        <v>45885.0</v>
      </c>
      <c r="B297" s="23" t="s">
        <v>1</v>
      </c>
      <c r="C297" s="24">
        <v>442.0</v>
      </c>
      <c r="D297" s="23" t="s">
        <v>21</v>
      </c>
      <c r="E297" s="23" t="s">
        <v>18</v>
      </c>
      <c r="F297" s="23" t="s">
        <v>25</v>
      </c>
      <c r="G297" s="38"/>
      <c r="H297" s="36"/>
    </row>
    <row r="298" ht="15.75" customHeight="1">
      <c r="A298" s="35">
        <v>45886.0</v>
      </c>
      <c r="B298" s="23" t="s">
        <v>1</v>
      </c>
      <c r="C298" s="24">
        <v>170.0</v>
      </c>
      <c r="D298" s="23" t="s">
        <v>21</v>
      </c>
      <c r="E298" s="23" t="s">
        <v>18</v>
      </c>
      <c r="F298" s="23" t="s">
        <v>25</v>
      </c>
      <c r="G298" s="38"/>
      <c r="H298" s="36"/>
    </row>
    <row r="299" ht="15.75" customHeight="1">
      <c r="A299" s="35">
        <v>45887.0</v>
      </c>
      <c r="B299" s="23" t="s">
        <v>1</v>
      </c>
      <c r="C299" s="24">
        <v>195.0</v>
      </c>
      <c r="D299" s="23" t="s">
        <v>21</v>
      </c>
      <c r="E299" s="23" t="s">
        <v>18</v>
      </c>
      <c r="F299" s="23" t="s">
        <v>25</v>
      </c>
      <c r="G299" s="38"/>
      <c r="H299" s="36"/>
    </row>
    <row r="300" ht="15.75" customHeight="1">
      <c r="A300" s="35">
        <v>45888.0</v>
      </c>
      <c r="B300" s="23" t="s">
        <v>1</v>
      </c>
      <c r="C300" s="24">
        <v>641.0</v>
      </c>
      <c r="D300" s="23" t="s">
        <v>21</v>
      </c>
      <c r="E300" s="23" t="s">
        <v>18</v>
      </c>
      <c r="F300" s="23" t="s">
        <v>25</v>
      </c>
      <c r="G300" s="38"/>
      <c r="H300" s="36"/>
    </row>
    <row r="301" ht="15.75" customHeight="1">
      <c r="A301" s="35">
        <v>45890.0</v>
      </c>
      <c r="B301" s="23" t="s">
        <v>1</v>
      </c>
      <c r="C301" s="24">
        <v>1264.0</v>
      </c>
      <c r="D301" s="23" t="s">
        <v>21</v>
      </c>
      <c r="E301" s="23" t="s">
        <v>18</v>
      </c>
      <c r="F301" s="23" t="s">
        <v>25</v>
      </c>
      <c r="G301" s="38"/>
      <c r="H301" s="36"/>
    </row>
    <row r="302" ht="15.75" customHeight="1">
      <c r="A302" s="35">
        <v>45892.0</v>
      </c>
      <c r="B302" s="23" t="s">
        <v>1</v>
      </c>
      <c r="C302" s="24">
        <v>332.0</v>
      </c>
      <c r="D302" s="23" t="s">
        <v>21</v>
      </c>
      <c r="E302" s="23" t="s">
        <v>18</v>
      </c>
      <c r="F302" s="23" t="s">
        <v>25</v>
      </c>
      <c r="G302" s="38"/>
      <c r="H302" s="36"/>
    </row>
    <row r="303" ht="15.75" customHeight="1">
      <c r="A303" s="35">
        <v>45892.0</v>
      </c>
      <c r="B303" s="23" t="s">
        <v>1</v>
      </c>
      <c r="C303" s="24">
        <v>4345.0</v>
      </c>
      <c r="D303" s="23" t="s">
        <v>21</v>
      </c>
      <c r="E303" s="23" t="s">
        <v>32</v>
      </c>
      <c r="F303" s="23" t="s">
        <v>33</v>
      </c>
      <c r="G303" s="29" t="s">
        <v>34</v>
      </c>
      <c r="H303" s="36"/>
    </row>
    <row r="304" ht="15.75" customHeight="1">
      <c r="A304" s="35">
        <v>45895.0</v>
      </c>
      <c r="B304" s="23" t="s">
        <v>1</v>
      </c>
      <c r="C304" s="24">
        <v>210.0</v>
      </c>
      <c r="D304" s="23" t="s">
        <v>21</v>
      </c>
      <c r="E304" s="23" t="s">
        <v>18</v>
      </c>
      <c r="F304" s="23" t="s">
        <v>25</v>
      </c>
      <c r="G304" s="38"/>
      <c r="H304" s="36"/>
    </row>
    <row r="305" ht="15.75" customHeight="1">
      <c r="A305" s="35">
        <v>45896.0</v>
      </c>
      <c r="B305" s="23" t="s">
        <v>1</v>
      </c>
      <c r="C305" s="24">
        <v>4668.0</v>
      </c>
      <c r="D305" s="23" t="s">
        <v>21</v>
      </c>
      <c r="E305" s="23" t="s">
        <v>32</v>
      </c>
      <c r="F305" s="23" t="s">
        <v>33</v>
      </c>
      <c r="G305" s="29" t="s">
        <v>82</v>
      </c>
      <c r="H305" s="36"/>
    </row>
    <row r="306" ht="15.75" customHeight="1">
      <c r="A306" s="35">
        <v>45897.0</v>
      </c>
      <c r="B306" s="23" t="s">
        <v>1</v>
      </c>
      <c r="C306" s="24">
        <v>591.0</v>
      </c>
      <c r="D306" s="23" t="s">
        <v>21</v>
      </c>
      <c r="E306" s="23" t="s">
        <v>18</v>
      </c>
      <c r="F306" s="23" t="s">
        <v>25</v>
      </c>
      <c r="G306" s="38"/>
      <c r="H306" s="36"/>
    </row>
    <row r="307" ht="15.75" customHeight="1">
      <c r="A307" s="35">
        <v>45897.0</v>
      </c>
      <c r="B307" s="23" t="s">
        <v>1</v>
      </c>
      <c r="C307" s="24">
        <v>3276.0</v>
      </c>
      <c r="D307" s="23" t="s">
        <v>21</v>
      </c>
      <c r="E307" s="23" t="s">
        <v>32</v>
      </c>
      <c r="F307" s="23" t="s">
        <v>33</v>
      </c>
      <c r="G307" s="29" t="s">
        <v>76</v>
      </c>
      <c r="H307" s="36"/>
    </row>
    <row r="308" ht="15.75" customHeight="1">
      <c r="A308" s="35"/>
      <c r="B308" s="23"/>
      <c r="C308" s="24"/>
      <c r="D308" s="37"/>
      <c r="E308" s="37"/>
      <c r="F308" s="37"/>
      <c r="G308" s="31"/>
      <c r="H308" s="36"/>
    </row>
    <row r="309" ht="15.75" customHeight="1">
      <c r="A309" s="52">
        <v>45897.0</v>
      </c>
      <c r="B309" s="53" t="s">
        <v>1</v>
      </c>
      <c r="C309" s="54">
        <v>4349.0</v>
      </c>
      <c r="D309" s="53" t="s">
        <v>21</v>
      </c>
      <c r="E309" s="53" t="s">
        <v>18</v>
      </c>
      <c r="F309" s="80"/>
      <c r="G309" s="81"/>
      <c r="H309" s="57" t="s">
        <v>84</v>
      </c>
    </row>
    <row r="310" ht="15.75" customHeight="1">
      <c r="A310" s="35">
        <v>45898.0</v>
      </c>
      <c r="B310" s="23" t="s">
        <v>1</v>
      </c>
      <c r="C310" s="24">
        <v>176.0</v>
      </c>
      <c r="D310" s="23" t="s">
        <v>21</v>
      </c>
      <c r="E310" s="23" t="s">
        <v>18</v>
      </c>
      <c r="F310" s="23" t="s">
        <v>25</v>
      </c>
      <c r="G310" s="38"/>
      <c r="H310" s="36"/>
    </row>
    <row r="311" ht="15.75" customHeight="1">
      <c r="A311" s="35">
        <v>45899.0</v>
      </c>
      <c r="B311" s="23" t="s">
        <v>1</v>
      </c>
      <c r="C311" s="24">
        <v>237.0</v>
      </c>
      <c r="D311" s="23" t="s">
        <v>21</v>
      </c>
      <c r="E311" s="23" t="s">
        <v>18</v>
      </c>
      <c r="F311" s="23" t="s">
        <v>25</v>
      </c>
      <c r="G311" s="38"/>
      <c r="H311" s="36"/>
    </row>
    <row r="312" ht="15.75" customHeight="1">
      <c r="A312" s="35">
        <v>45900.0</v>
      </c>
      <c r="B312" s="23" t="s">
        <v>1</v>
      </c>
      <c r="C312" s="24">
        <v>554.0</v>
      </c>
      <c r="D312" s="23" t="s">
        <v>21</v>
      </c>
      <c r="E312" s="23" t="s">
        <v>18</v>
      </c>
      <c r="F312" s="23" t="s">
        <v>25</v>
      </c>
      <c r="G312" s="38"/>
      <c r="H312" s="36"/>
    </row>
    <row r="313" ht="15.75" customHeight="1">
      <c r="A313" s="35">
        <v>45900.0</v>
      </c>
      <c r="B313" s="23" t="s">
        <v>1</v>
      </c>
      <c r="C313" s="24">
        <v>960.0</v>
      </c>
      <c r="D313" s="23" t="s">
        <v>21</v>
      </c>
      <c r="E313" s="23" t="s">
        <v>32</v>
      </c>
      <c r="F313" s="23" t="s">
        <v>33</v>
      </c>
      <c r="G313" s="29" t="s">
        <v>82</v>
      </c>
      <c r="H313" s="36"/>
    </row>
    <row r="314" ht="15.75" customHeight="1">
      <c r="A314" s="35">
        <v>45900.0</v>
      </c>
      <c r="B314" s="23" t="s">
        <v>1</v>
      </c>
      <c r="C314" s="24">
        <v>1277.0</v>
      </c>
      <c r="D314" s="23" t="s">
        <v>21</v>
      </c>
      <c r="E314" s="23" t="s">
        <v>32</v>
      </c>
      <c r="F314" s="23" t="s">
        <v>33</v>
      </c>
      <c r="G314" s="29" t="s">
        <v>34</v>
      </c>
      <c r="H314" s="36"/>
    </row>
    <row r="315" ht="15.75" customHeight="1">
      <c r="A315" s="35">
        <v>45900.0</v>
      </c>
      <c r="B315" s="23" t="s">
        <v>1</v>
      </c>
      <c r="C315" s="24">
        <v>1992.0</v>
      </c>
      <c r="D315" s="23" t="s">
        <v>21</v>
      </c>
      <c r="E315" s="23" t="s">
        <v>32</v>
      </c>
      <c r="F315" s="23" t="s">
        <v>33</v>
      </c>
      <c r="G315" s="29" t="s">
        <v>76</v>
      </c>
      <c r="H315" s="36"/>
    </row>
    <row r="316" ht="15.75" customHeight="1">
      <c r="A316" s="35">
        <v>45901.0</v>
      </c>
      <c r="B316" s="23" t="s">
        <v>1</v>
      </c>
      <c r="C316" s="24"/>
      <c r="D316" s="37"/>
      <c r="E316" s="37"/>
      <c r="F316" s="37"/>
      <c r="G316" s="31"/>
      <c r="H316" s="36"/>
    </row>
    <row r="317" ht="15.75" customHeight="1">
      <c r="A317" s="35">
        <v>45901.0</v>
      </c>
      <c r="B317" s="23" t="s">
        <v>1</v>
      </c>
      <c r="C317" s="24">
        <v>685.0</v>
      </c>
      <c r="D317" s="23" t="s">
        <v>21</v>
      </c>
      <c r="E317" s="23" t="s">
        <v>32</v>
      </c>
      <c r="F317" s="23" t="s">
        <v>33</v>
      </c>
      <c r="G317" s="29" t="s">
        <v>34</v>
      </c>
      <c r="H317" s="36"/>
    </row>
    <row r="318" ht="15.75" customHeight="1">
      <c r="A318" s="35">
        <v>45901.0</v>
      </c>
      <c r="B318" s="23" t="s">
        <v>1</v>
      </c>
      <c r="C318" s="24">
        <v>6000.0</v>
      </c>
      <c r="D318" s="23" t="s">
        <v>21</v>
      </c>
      <c r="E318" s="23" t="s">
        <v>32</v>
      </c>
      <c r="F318" s="23" t="s">
        <v>38</v>
      </c>
      <c r="G318" s="29" t="s">
        <v>76</v>
      </c>
      <c r="H318" s="30" t="s">
        <v>85</v>
      </c>
    </row>
    <row r="319" ht="15.75" customHeight="1">
      <c r="A319" s="35">
        <v>45901.0</v>
      </c>
      <c r="B319" s="23" t="s">
        <v>1</v>
      </c>
      <c r="C319" s="24">
        <v>4000.0</v>
      </c>
      <c r="D319" s="23" t="s">
        <v>21</v>
      </c>
      <c r="E319" s="23" t="s">
        <v>32</v>
      </c>
      <c r="F319" s="23" t="s">
        <v>38</v>
      </c>
      <c r="G319" s="29" t="s">
        <v>34</v>
      </c>
      <c r="H319" s="30" t="s">
        <v>85</v>
      </c>
    </row>
    <row r="320" ht="15.75" customHeight="1">
      <c r="A320" s="35">
        <v>45902.0</v>
      </c>
      <c r="B320" s="23" t="s">
        <v>1</v>
      </c>
      <c r="C320" s="24">
        <v>670.0</v>
      </c>
      <c r="D320" s="23" t="s">
        <v>21</v>
      </c>
      <c r="E320" s="23" t="s">
        <v>18</v>
      </c>
      <c r="F320" s="23" t="s">
        <v>25</v>
      </c>
      <c r="G320" s="38"/>
      <c r="H320" s="36"/>
    </row>
    <row r="321" ht="15.75" customHeight="1">
      <c r="A321" s="35">
        <v>45904.0</v>
      </c>
      <c r="B321" s="23" t="s">
        <v>1</v>
      </c>
      <c r="C321" s="24">
        <v>630.0</v>
      </c>
      <c r="D321" s="23" t="s">
        <v>21</v>
      </c>
      <c r="E321" s="23" t="s">
        <v>18</v>
      </c>
      <c r="F321" s="23" t="s">
        <v>25</v>
      </c>
      <c r="G321" s="38"/>
      <c r="H321" s="36"/>
    </row>
    <row r="322" ht="15.75" customHeight="1">
      <c r="A322" s="35">
        <v>45908.0</v>
      </c>
      <c r="B322" s="23" t="s">
        <v>1</v>
      </c>
      <c r="C322" s="24">
        <v>510.0</v>
      </c>
      <c r="D322" s="23" t="s">
        <v>21</v>
      </c>
      <c r="E322" s="23" t="s">
        <v>18</v>
      </c>
      <c r="F322" s="23" t="s">
        <v>25</v>
      </c>
      <c r="G322" s="38"/>
      <c r="H322" s="36"/>
    </row>
    <row r="323" ht="15.75" customHeight="1">
      <c r="A323" s="35">
        <v>45908.0</v>
      </c>
      <c r="B323" s="23" t="s">
        <v>1</v>
      </c>
      <c r="C323" s="24">
        <v>250.0</v>
      </c>
      <c r="D323" s="23" t="s">
        <v>21</v>
      </c>
      <c r="E323" s="23" t="s">
        <v>18</v>
      </c>
      <c r="F323" s="25"/>
      <c r="G323" s="38"/>
      <c r="H323" s="30" t="s">
        <v>86</v>
      </c>
    </row>
    <row r="324" ht="15.75" customHeight="1">
      <c r="A324" s="35">
        <v>45909.0</v>
      </c>
      <c r="B324" s="23" t="s">
        <v>1</v>
      </c>
      <c r="C324" s="24">
        <v>442.0</v>
      </c>
      <c r="D324" s="23" t="s">
        <v>21</v>
      </c>
      <c r="E324" s="23" t="s">
        <v>18</v>
      </c>
      <c r="F324" s="23" t="s">
        <v>25</v>
      </c>
      <c r="G324" s="38"/>
      <c r="H324" s="36"/>
    </row>
    <row r="325" ht="15.75" customHeight="1">
      <c r="A325" s="35">
        <v>45910.0</v>
      </c>
      <c r="B325" s="23" t="s">
        <v>1</v>
      </c>
      <c r="C325" s="24">
        <v>471.0</v>
      </c>
      <c r="D325" s="23" t="s">
        <v>21</v>
      </c>
      <c r="E325" s="23" t="s">
        <v>18</v>
      </c>
      <c r="F325" s="23" t="s">
        <v>25</v>
      </c>
      <c r="G325" s="38"/>
      <c r="H325" s="36"/>
    </row>
    <row r="326" ht="15.75" customHeight="1">
      <c r="A326" s="35">
        <v>45911.0</v>
      </c>
      <c r="B326" s="23" t="s">
        <v>1</v>
      </c>
      <c r="C326" s="24">
        <v>133.0</v>
      </c>
      <c r="D326" s="23" t="s">
        <v>21</v>
      </c>
      <c r="E326" s="23" t="s">
        <v>18</v>
      </c>
      <c r="F326" s="23" t="s">
        <v>25</v>
      </c>
      <c r="G326" s="38"/>
      <c r="H326" s="36"/>
    </row>
    <row r="327" ht="15.75" customHeight="1">
      <c r="A327" s="35"/>
      <c r="B327" s="23"/>
      <c r="C327" s="24"/>
      <c r="D327" s="37"/>
      <c r="E327" s="23"/>
      <c r="F327" s="25"/>
      <c r="G327" s="38"/>
      <c r="H327" s="30"/>
    </row>
    <row r="328" ht="15.75" customHeight="1">
      <c r="A328" s="35">
        <v>45913.0</v>
      </c>
      <c r="B328" s="23" t="s">
        <v>1</v>
      </c>
      <c r="C328" s="24">
        <v>1033.0</v>
      </c>
      <c r="D328" s="23" t="s">
        <v>21</v>
      </c>
      <c r="E328" s="23" t="s">
        <v>18</v>
      </c>
      <c r="F328" s="23" t="s">
        <v>25</v>
      </c>
      <c r="G328" s="38"/>
      <c r="H328" s="36"/>
    </row>
    <row r="329" ht="15.75" customHeight="1">
      <c r="A329" s="35">
        <v>45913.0</v>
      </c>
      <c r="B329" s="23" t="s">
        <v>1</v>
      </c>
      <c r="C329" s="24">
        <v>530.0</v>
      </c>
      <c r="D329" s="23" t="s">
        <v>21</v>
      </c>
      <c r="E329" s="23" t="s">
        <v>18</v>
      </c>
      <c r="F329" s="25"/>
      <c r="G329" s="38"/>
      <c r="H329" s="30" t="s">
        <v>87</v>
      </c>
    </row>
    <row r="330" ht="15.75" customHeight="1">
      <c r="A330" s="35">
        <v>45914.0</v>
      </c>
      <c r="B330" s="23" t="s">
        <v>1</v>
      </c>
      <c r="C330" s="24">
        <v>2909.0</v>
      </c>
      <c r="D330" s="23" t="s">
        <v>21</v>
      </c>
      <c r="E330" s="23" t="s">
        <v>32</v>
      </c>
      <c r="F330" s="23" t="s">
        <v>33</v>
      </c>
      <c r="G330" s="29" t="s">
        <v>76</v>
      </c>
      <c r="H330" s="36"/>
    </row>
    <row r="331" ht="15.75" customHeight="1">
      <c r="A331" s="35">
        <v>45915.0</v>
      </c>
      <c r="B331" s="23" t="s">
        <v>1</v>
      </c>
      <c r="C331" s="24">
        <v>300.0</v>
      </c>
      <c r="D331" s="23" t="s">
        <v>21</v>
      </c>
      <c r="E331" s="23" t="s">
        <v>18</v>
      </c>
      <c r="F331" s="25"/>
      <c r="G331" s="29" t="s">
        <v>76</v>
      </c>
      <c r="H331" s="30" t="s">
        <v>88</v>
      </c>
    </row>
    <row r="332" ht="15.75" customHeight="1">
      <c r="A332" s="35">
        <v>45917.0</v>
      </c>
      <c r="B332" s="23" t="s">
        <v>1</v>
      </c>
      <c r="C332" s="24">
        <v>665.0</v>
      </c>
      <c r="D332" s="23" t="s">
        <v>21</v>
      </c>
      <c r="E332" s="23" t="s">
        <v>18</v>
      </c>
      <c r="F332" s="23" t="s">
        <v>25</v>
      </c>
      <c r="G332" s="38"/>
      <c r="H332" s="36"/>
    </row>
    <row r="333" ht="15.75" customHeight="1">
      <c r="A333" s="35">
        <v>45920.0</v>
      </c>
      <c r="B333" s="23" t="s">
        <v>1</v>
      </c>
      <c r="C333" s="24">
        <v>252.0</v>
      </c>
      <c r="D333" s="23" t="s">
        <v>21</v>
      </c>
      <c r="E333" s="23" t="s">
        <v>18</v>
      </c>
      <c r="F333" s="23" t="s">
        <v>25</v>
      </c>
      <c r="G333" s="38"/>
      <c r="H333" s="36"/>
    </row>
    <row r="334" ht="15.75" customHeight="1">
      <c r="A334" s="35">
        <v>45920.0</v>
      </c>
      <c r="B334" s="23" t="s">
        <v>1</v>
      </c>
      <c r="C334" s="24">
        <v>2611.0</v>
      </c>
      <c r="D334" s="23" t="s">
        <v>21</v>
      </c>
      <c r="E334" s="23" t="s">
        <v>32</v>
      </c>
      <c r="F334" s="23" t="s">
        <v>33</v>
      </c>
      <c r="G334" s="29" t="s">
        <v>82</v>
      </c>
      <c r="H334" s="36"/>
    </row>
    <row r="335" ht="15.75" customHeight="1">
      <c r="A335" s="35">
        <v>45920.0</v>
      </c>
      <c r="B335" s="23" t="s">
        <v>1</v>
      </c>
      <c r="C335" s="24">
        <v>2371.0</v>
      </c>
      <c r="D335" s="23" t="s">
        <v>21</v>
      </c>
      <c r="E335" s="23" t="s">
        <v>32</v>
      </c>
      <c r="F335" s="23" t="s">
        <v>33</v>
      </c>
      <c r="G335" s="29" t="s">
        <v>34</v>
      </c>
      <c r="H335" s="36"/>
    </row>
    <row r="336" ht="15.75" customHeight="1">
      <c r="A336" s="35">
        <v>45921.0</v>
      </c>
      <c r="B336" s="23" t="s">
        <v>1</v>
      </c>
      <c r="C336" s="24">
        <v>1033.0</v>
      </c>
      <c r="D336" s="23" t="s">
        <v>21</v>
      </c>
      <c r="E336" s="23" t="s">
        <v>18</v>
      </c>
      <c r="F336" s="23" t="s">
        <v>25</v>
      </c>
      <c r="G336" s="38"/>
      <c r="H336" s="36"/>
    </row>
    <row r="337" ht="15.75" customHeight="1">
      <c r="A337" s="35">
        <v>45922.0</v>
      </c>
      <c r="B337" s="23" t="s">
        <v>1</v>
      </c>
      <c r="C337" s="24">
        <v>470.0</v>
      </c>
      <c r="D337" s="23" t="s">
        <v>21</v>
      </c>
      <c r="E337" s="23" t="s">
        <v>18</v>
      </c>
      <c r="F337" s="23" t="s">
        <v>25</v>
      </c>
      <c r="G337" s="38"/>
      <c r="H337" s="36"/>
    </row>
    <row r="338" ht="15.75" customHeight="1">
      <c r="A338" s="35">
        <v>45924.0</v>
      </c>
      <c r="B338" s="23" t="s">
        <v>1</v>
      </c>
      <c r="C338" s="24">
        <v>1117.0</v>
      </c>
      <c r="D338" s="23" t="s">
        <v>21</v>
      </c>
      <c r="E338" s="23" t="s">
        <v>18</v>
      </c>
      <c r="F338" s="23" t="s">
        <v>25</v>
      </c>
      <c r="G338" s="38"/>
      <c r="H338" s="36"/>
    </row>
    <row r="339" ht="15.75" customHeight="1">
      <c r="A339" s="35">
        <v>45924.0</v>
      </c>
      <c r="B339" s="23" t="s">
        <v>1</v>
      </c>
      <c r="C339" s="24">
        <v>360.0</v>
      </c>
      <c r="D339" s="23" t="s">
        <v>21</v>
      </c>
      <c r="E339" s="23" t="s">
        <v>32</v>
      </c>
      <c r="F339" s="23" t="s">
        <v>33</v>
      </c>
      <c r="G339" s="29" t="s">
        <v>76</v>
      </c>
      <c r="H339" s="36"/>
    </row>
    <row r="340" ht="15.75" customHeight="1">
      <c r="A340" s="35">
        <v>45924.0</v>
      </c>
      <c r="B340" s="23" t="s">
        <v>1</v>
      </c>
      <c r="C340" s="24">
        <v>35.0</v>
      </c>
      <c r="D340" s="23" t="s">
        <v>21</v>
      </c>
      <c r="E340" s="23" t="s">
        <v>32</v>
      </c>
      <c r="F340" s="23" t="s">
        <v>33</v>
      </c>
      <c r="G340" s="29" t="s">
        <v>34</v>
      </c>
      <c r="H340" s="36"/>
    </row>
    <row r="341" ht="15.75" customHeight="1">
      <c r="A341" s="35">
        <v>45925.0</v>
      </c>
      <c r="B341" s="23" t="s">
        <v>1</v>
      </c>
      <c r="C341" s="24">
        <v>1240.0</v>
      </c>
      <c r="D341" s="23" t="s">
        <v>21</v>
      </c>
      <c r="E341" s="23" t="s">
        <v>18</v>
      </c>
      <c r="F341" s="23" t="s">
        <v>25</v>
      </c>
      <c r="G341" s="38"/>
      <c r="H341" s="36"/>
    </row>
    <row r="342" ht="15.75" customHeight="1">
      <c r="A342" s="82"/>
      <c r="B342" s="23" t="s">
        <v>1</v>
      </c>
      <c r="C342" s="24">
        <v>20.0</v>
      </c>
      <c r="D342" s="23" t="s">
        <v>21</v>
      </c>
      <c r="E342" s="23" t="s">
        <v>18</v>
      </c>
      <c r="F342" s="23" t="s">
        <v>25</v>
      </c>
      <c r="G342" s="38"/>
      <c r="H342" s="36"/>
    </row>
    <row r="343" ht="15.75" customHeight="1">
      <c r="A343" s="35">
        <v>45945.0</v>
      </c>
      <c r="B343" s="23" t="s">
        <v>1</v>
      </c>
      <c r="C343" s="24">
        <v>1224.0</v>
      </c>
      <c r="D343" s="23" t="s">
        <v>21</v>
      </c>
      <c r="E343" s="23" t="s">
        <v>32</v>
      </c>
      <c r="F343" s="23" t="s">
        <v>33</v>
      </c>
      <c r="G343" s="29" t="s">
        <v>34</v>
      </c>
      <c r="H343" s="36"/>
    </row>
    <row r="344" ht="15.75" customHeight="1">
      <c r="A344" s="35">
        <v>45929.0</v>
      </c>
      <c r="B344" s="23" t="s">
        <v>1</v>
      </c>
      <c r="C344" s="24">
        <v>1341.0</v>
      </c>
      <c r="D344" s="23" t="s">
        <v>21</v>
      </c>
      <c r="E344" s="23" t="s">
        <v>32</v>
      </c>
      <c r="F344" s="23" t="s">
        <v>33</v>
      </c>
      <c r="G344" s="29" t="s">
        <v>82</v>
      </c>
      <c r="H344" s="36"/>
    </row>
    <row r="345" ht="15.75" customHeight="1">
      <c r="A345" s="35">
        <v>45929.0</v>
      </c>
      <c r="B345" s="23" t="s">
        <v>1</v>
      </c>
      <c r="C345" s="24">
        <v>361.0</v>
      </c>
      <c r="D345" s="23" t="s">
        <v>21</v>
      </c>
      <c r="E345" s="23" t="s">
        <v>32</v>
      </c>
      <c r="F345" s="23" t="s">
        <v>33</v>
      </c>
      <c r="G345" s="29" t="s">
        <v>76</v>
      </c>
      <c r="H345" s="36"/>
    </row>
    <row r="346" ht="15.75" customHeight="1">
      <c r="A346" s="35">
        <v>45930.0</v>
      </c>
      <c r="B346" s="23" t="s">
        <v>1</v>
      </c>
      <c r="C346" s="24">
        <v>2254.0</v>
      </c>
      <c r="D346" s="23" t="s">
        <v>21</v>
      </c>
      <c r="E346" s="23" t="s">
        <v>32</v>
      </c>
      <c r="F346" s="23" t="s">
        <v>33</v>
      </c>
      <c r="G346" s="29" t="s">
        <v>76</v>
      </c>
      <c r="H346" s="36"/>
    </row>
    <row r="347" ht="15.75" customHeight="1">
      <c r="A347" s="35">
        <v>45931.0</v>
      </c>
      <c r="B347" s="23" t="s">
        <v>1</v>
      </c>
      <c r="C347" s="24">
        <v>639.0</v>
      </c>
      <c r="D347" s="23" t="s">
        <v>21</v>
      </c>
      <c r="E347" s="23" t="s">
        <v>18</v>
      </c>
      <c r="F347" s="23" t="s">
        <v>25</v>
      </c>
      <c r="G347" s="38"/>
      <c r="H347" s="36"/>
    </row>
    <row r="348" ht="15.75" customHeight="1">
      <c r="A348" s="35">
        <v>45934.0</v>
      </c>
      <c r="B348" s="23" t="s">
        <v>1</v>
      </c>
      <c r="C348" s="24">
        <v>985.0</v>
      </c>
      <c r="D348" s="23" t="s">
        <v>21</v>
      </c>
      <c r="E348" s="23" t="s">
        <v>18</v>
      </c>
      <c r="F348" s="23" t="s">
        <v>25</v>
      </c>
      <c r="G348" s="38"/>
      <c r="H348" s="36"/>
    </row>
    <row r="349" ht="15.75" customHeight="1">
      <c r="A349" s="35">
        <v>45935.0</v>
      </c>
      <c r="B349" s="23" t="s">
        <v>1</v>
      </c>
      <c r="C349" s="24">
        <v>492.0</v>
      </c>
      <c r="D349" s="23" t="s">
        <v>21</v>
      </c>
      <c r="E349" s="23" t="s">
        <v>18</v>
      </c>
      <c r="F349" s="23" t="s">
        <v>25</v>
      </c>
      <c r="G349" s="38"/>
      <c r="H349" s="36"/>
    </row>
    <row r="350" ht="15.75" customHeight="1">
      <c r="A350" s="35">
        <v>45936.0</v>
      </c>
      <c r="B350" s="23" t="s">
        <v>1</v>
      </c>
      <c r="C350" s="24">
        <v>1446.0</v>
      </c>
      <c r="D350" s="23" t="s">
        <v>21</v>
      </c>
      <c r="E350" s="23" t="s">
        <v>18</v>
      </c>
      <c r="F350" s="23" t="s">
        <v>25</v>
      </c>
      <c r="G350" s="38"/>
      <c r="H350" s="36"/>
    </row>
    <row r="351" ht="15.75" customHeight="1">
      <c r="A351" s="35">
        <v>45937.0</v>
      </c>
      <c r="B351" s="23" t="s">
        <v>1</v>
      </c>
      <c r="C351" s="24">
        <v>638.0</v>
      </c>
      <c r="D351" s="23" t="s">
        <v>21</v>
      </c>
      <c r="E351" s="23" t="s">
        <v>18</v>
      </c>
      <c r="F351" s="23" t="s">
        <v>25</v>
      </c>
      <c r="G351" s="38"/>
      <c r="H351" s="36"/>
    </row>
    <row r="352" ht="15.75" customHeight="1">
      <c r="A352" s="35">
        <v>45938.0</v>
      </c>
      <c r="B352" s="23" t="s">
        <v>1</v>
      </c>
      <c r="C352" s="24">
        <v>202.0</v>
      </c>
      <c r="D352" s="23" t="s">
        <v>21</v>
      </c>
      <c r="E352" s="23" t="s">
        <v>18</v>
      </c>
      <c r="F352" s="23" t="s">
        <v>25</v>
      </c>
      <c r="G352" s="38"/>
      <c r="H352" s="36"/>
    </row>
    <row r="353" ht="15.75" customHeight="1">
      <c r="A353" s="35">
        <v>45939.0</v>
      </c>
      <c r="B353" s="23" t="s">
        <v>1</v>
      </c>
      <c r="C353" s="24">
        <v>810.0</v>
      </c>
      <c r="D353" s="23" t="s">
        <v>21</v>
      </c>
      <c r="E353" s="23" t="s">
        <v>18</v>
      </c>
      <c r="F353" s="23" t="s">
        <v>25</v>
      </c>
      <c r="G353" s="38"/>
      <c r="H353" s="36"/>
    </row>
    <row r="354" ht="15.75" customHeight="1">
      <c r="A354" s="35"/>
      <c r="B354" s="23"/>
      <c r="C354" s="24"/>
      <c r="D354" s="37"/>
      <c r="E354" s="23"/>
      <c r="F354" s="25"/>
      <c r="G354" s="38"/>
      <c r="H354" s="30"/>
    </row>
    <row r="355" ht="15.75" customHeight="1">
      <c r="A355" s="35">
        <v>45941.0</v>
      </c>
      <c r="B355" s="23" t="s">
        <v>1</v>
      </c>
      <c r="C355" s="24">
        <v>300.0</v>
      </c>
      <c r="D355" s="23" t="s">
        <v>21</v>
      </c>
      <c r="E355" s="23" t="s">
        <v>18</v>
      </c>
      <c r="F355" s="25"/>
      <c r="G355" s="38"/>
      <c r="H355" s="30" t="s">
        <v>89</v>
      </c>
    </row>
    <row r="356" ht="15.75" customHeight="1">
      <c r="A356" s="35">
        <v>45941.0</v>
      </c>
      <c r="B356" s="23" t="s">
        <v>1</v>
      </c>
      <c r="C356" s="24">
        <v>1675.0</v>
      </c>
      <c r="D356" s="23" t="s">
        <v>21</v>
      </c>
      <c r="E356" s="23" t="s">
        <v>18</v>
      </c>
      <c r="F356" s="23" t="s">
        <v>25</v>
      </c>
      <c r="G356" s="38"/>
      <c r="H356" s="36"/>
    </row>
    <row r="357" ht="15.75" customHeight="1">
      <c r="A357" s="35">
        <v>45943.0</v>
      </c>
      <c r="B357" s="23" t="s">
        <v>1</v>
      </c>
      <c r="C357" s="24">
        <v>27.0</v>
      </c>
      <c r="D357" s="23" t="s">
        <v>21</v>
      </c>
      <c r="E357" s="23" t="s">
        <v>18</v>
      </c>
      <c r="F357" s="23" t="s">
        <v>25</v>
      </c>
      <c r="G357" s="38"/>
      <c r="H357" s="36"/>
    </row>
    <row r="358" ht="15.75" customHeight="1">
      <c r="A358" s="35">
        <v>45944.0</v>
      </c>
      <c r="B358" s="23" t="s">
        <v>1</v>
      </c>
      <c r="C358" s="24">
        <v>600.0</v>
      </c>
      <c r="D358" s="23" t="s">
        <v>21</v>
      </c>
      <c r="E358" s="23" t="s">
        <v>18</v>
      </c>
      <c r="F358" s="23" t="s">
        <v>25</v>
      </c>
      <c r="G358" s="38"/>
      <c r="H358" s="36"/>
    </row>
    <row r="359" ht="15.75" customHeight="1">
      <c r="A359" s="35">
        <v>45945.0</v>
      </c>
      <c r="B359" s="23" t="s">
        <v>1</v>
      </c>
      <c r="C359" s="24">
        <v>908.0</v>
      </c>
      <c r="D359" s="23" t="s">
        <v>21</v>
      </c>
      <c r="E359" s="23" t="s">
        <v>18</v>
      </c>
      <c r="F359" s="23" t="s">
        <v>25</v>
      </c>
      <c r="G359" s="38"/>
      <c r="H359" s="36"/>
    </row>
    <row r="360" ht="15.75" customHeight="1">
      <c r="A360" s="52">
        <v>45945.0</v>
      </c>
      <c r="B360" s="53" t="s">
        <v>1</v>
      </c>
      <c r="C360" s="54">
        <v>3000.0</v>
      </c>
      <c r="D360" s="53" t="s">
        <v>21</v>
      </c>
      <c r="E360" s="53" t="s">
        <v>18</v>
      </c>
      <c r="F360" s="80"/>
      <c r="G360" s="81"/>
      <c r="H360" s="57" t="s">
        <v>62</v>
      </c>
    </row>
    <row r="361" ht="15.75" customHeight="1">
      <c r="A361" s="35">
        <v>45945.0</v>
      </c>
      <c r="B361" s="23" t="s">
        <v>1</v>
      </c>
      <c r="C361" s="24">
        <v>2765.0</v>
      </c>
      <c r="D361" s="23" t="s">
        <v>21</v>
      </c>
      <c r="E361" s="23" t="s">
        <v>32</v>
      </c>
      <c r="F361" s="23" t="s">
        <v>33</v>
      </c>
      <c r="G361" s="29" t="s">
        <v>82</v>
      </c>
      <c r="H361" s="36"/>
    </row>
    <row r="362" ht="15.75" customHeight="1">
      <c r="A362" s="35">
        <v>45945.0</v>
      </c>
      <c r="B362" s="23" t="s">
        <v>1</v>
      </c>
      <c r="C362" s="24">
        <v>100.0</v>
      </c>
      <c r="D362" s="23" t="s">
        <v>21</v>
      </c>
      <c r="E362" s="23" t="s">
        <v>18</v>
      </c>
      <c r="F362" s="25"/>
      <c r="G362" s="29" t="s">
        <v>76</v>
      </c>
      <c r="H362" s="41" t="s">
        <v>90</v>
      </c>
    </row>
    <row r="363" ht="15.75" customHeight="1">
      <c r="A363" s="35">
        <v>45948.0</v>
      </c>
      <c r="B363" s="23" t="s">
        <v>1</v>
      </c>
      <c r="C363" s="24">
        <v>2435.0</v>
      </c>
      <c r="D363" s="23" t="s">
        <v>21</v>
      </c>
      <c r="E363" s="23" t="s">
        <v>18</v>
      </c>
      <c r="F363" s="25"/>
      <c r="G363" s="38"/>
      <c r="H363" s="30" t="s">
        <v>91</v>
      </c>
    </row>
    <row r="364" ht="15.75" customHeight="1">
      <c r="A364" s="35">
        <v>45948.0</v>
      </c>
      <c r="B364" s="23" t="s">
        <v>1</v>
      </c>
      <c r="C364" s="24">
        <v>840.0</v>
      </c>
      <c r="D364" s="23" t="s">
        <v>21</v>
      </c>
      <c r="E364" s="23" t="s">
        <v>18</v>
      </c>
      <c r="F364" s="23" t="s">
        <v>72</v>
      </c>
      <c r="G364" s="38"/>
      <c r="H364" s="36"/>
    </row>
    <row r="365" ht="15.75" customHeight="1">
      <c r="A365" s="35">
        <v>45948.0</v>
      </c>
      <c r="B365" s="23" t="s">
        <v>1</v>
      </c>
      <c r="C365" s="24">
        <v>600.0</v>
      </c>
      <c r="D365" s="23" t="s">
        <v>21</v>
      </c>
      <c r="E365" s="23" t="s">
        <v>18</v>
      </c>
      <c r="F365" s="23" t="s">
        <v>25</v>
      </c>
      <c r="G365" s="38"/>
      <c r="H365" s="36"/>
    </row>
    <row r="366" ht="15.75" customHeight="1">
      <c r="A366" s="35">
        <v>45950.0</v>
      </c>
      <c r="B366" s="23" t="s">
        <v>1</v>
      </c>
      <c r="C366" s="24">
        <v>211.0</v>
      </c>
      <c r="D366" s="23" t="s">
        <v>21</v>
      </c>
      <c r="E366" s="23" t="s">
        <v>18</v>
      </c>
      <c r="F366" s="23" t="s">
        <v>25</v>
      </c>
      <c r="G366" s="38"/>
      <c r="H366" s="36"/>
    </row>
    <row r="367" ht="15.75" customHeight="1">
      <c r="A367" s="35">
        <v>45950.0</v>
      </c>
      <c r="B367" s="23" t="s">
        <v>1</v>
      </c>
      <c r="C367" s="24">
        <v>2593.0</v>
      </c>
      <c r="D367" s="23" t="s">
        <v>21</v>
      </c>
      <c r="E367" s="23" t="s">
        <v>32</v>
      </c>
      <c r="F367" s="23" t="s">
        <v>33</v>
      </c>
      <c r="G367" s="29" t="s">
        <v>34</v>
      </c>
      <c r="H367" s="36"/>
    </row>
    <row r="368" ht="15.75" customHeight="1">
      <c r="A368" s="35">
        <v>45950.0</v>
      </c>
      <c r="B368" s="23" t="s">
        <v>1</v>
      </c>
      <c r="C368" s="24">
        <v>2599.0</v>
      </c>
      <c r="D368" s="23" t="s">
        <v>21</v>
      </c>
      <c r="E368" s="23" t="s">
        <v>32</v>
      </c>
      <c r="F368" s="23" t="s">
        <v>33</v>
      </c>
      <c r="G368" s="29" t="s">
        <v>92</v>
      </c>
      <c r="H368" s="36"/>
    </row>
    <row r="369" ht="15.75" customHeight="1">
      <c r="A369" s="35">
        <v>45952.0</v>
      </c>
      <c r="B369" s="23" t="s">
        <v>1</v>
      </c>
      <c r="C369" s="24">
        <v>1103.0</v>
      </c>
      <c r="D369" s="23" t="s">
        <v>21</v>
      </c>
      <c r="E369" s="23" t="s">
        <v>18</v>
      </c>
      <c r="F369" s="23" t="s">
        <v>25</v>
      </c>
      <c r="G369" s="38"/>
      <c r="H369" s="36"/>
    </row>
    <row r="370" ht="15.75" customHeight="1">
      <c r="A370" s="35">
        <v>45950.0</v>
      </c>
      <c r="B370" s="23" t="s">
        <v>1</v>
      </c>
      <c r="C370" s="24">
        <v>3636.0</v>
      </c>
      <c r="D370" s="23" t="s">
        <v>21</v>
      </c>
      <c r="E370" s="23" t="s">
        <v>32</v>
      </c>
      <c r="F370" s="23" t="s">
        <v>33</v>
      </c>
      <c r="G370" s="29" t="s">
        <v>76</v>
      </c>
      <c r="H370" s="36"/>
    </row>
    <row r="371" ht="15.75" customHeight="1">
      <c r="A371" s="22"/>
      <c r="B371" s="23" t="s">
        <v>1</v>
      </c>
      <c r="C371" s="24">
        <v>300.0</v>
      </c>
      <c r="D371" s="23" t="s">
        <v>21</v>
      </c>
      <c r="E371" s="23" t="s">
        <v>18</v>
      </c>
      <c r="F371" s="25"/>
      <c r="G371" s="38"/>
      <c r="H371" s="30" t="s">
        <v>93</v>
      </c>
    </row>
    <row r="372" ht="15.75" customHeight="1">
      <c r="A372" s="35">
        <v>45953.0</v>
      </c>
      <c r="B372" s="23" t="s">
        <v>1</v>
      </c>
      <c r="C372" s="24">
        <v>180.0</v>
      </c>
      <c r="D372" s="23" t="s">
        <v>21</v>
      </c>
      <c r="E372" s="23" t="s">
        <v>18</v>
      </c>
      <c r="F372" s="23" t="s">
        <v>25</v>
      </c>
      <c r="G372" s="38"/>
      <c r="H372" s="36"/>
    </row>
    <row r="373" ht="15.75" customHeight="1">
      <c r="A373" s="35">
        <v>45955.0</v>
      </c>
      <c r="B373" s="23" t="s">
        <v>1</v>
      </c>
      <c r="C373" s="24">
        <v>404.0</v>
      </c>
      <c r="D373" s="23" t="s">
        <v>21</v>
      </c>
      <c r="E373" s="23" t="s">
        <v>18</v>
      </c>
      <c r="F373" s="23" t="s">
        <v>25</v>
      </c>
      <c r="G373" s="38"/>
      <c r="H373" s="36"/>
    </row>
    <row r="374" ht="15.75" customHeight="1">
      <c r="A374" s="35">
        <v>45956.0</v>
      </c>
      <c r="B374" s="23" t="s">
        <v>1</v>
      </c>
      <c r="C374" s="24">
        <v>743.0</v>
      </c>
      <c r="D374" s="23" t="s">
        <v>21</v>
      </c>
      <c r="E374" s="23" t="s">
        <v>18</v>
      </c>
      <c r="F374" s="23" t="s">
        <v>25</v>
      </c>
      <c r="G374" s="38"/>
      <c r="H374" s="36"/>
    </row>
    <row r="375" ht="15.75" customHeight="1">
      <c r="A375" s="35">
        <v>45957.0</v>
      </c>
      <c r="B375" s="23" t="s">
        <v>1</v>
      </c>
      <c r="C375" s="24">
        <v>378.0</v>
      </c>
      <c r="D375" s="23" t="s">
        <v>21</v>
      </c>
      <c r="E375" s="23" t="s">
        <v>18</v>
      </c>
      <c r="F375" s="23" t="s">
        <v>25</v>
      </c>
      <c r="G375" s="38"/>
      <c r="H375" s="36"/>
    </row>
    <row r="376" ht="15.75" customHeight="1">
      <c r="A376" s="35">
        <v>45958.0</v>
      </c>
      <c r="B376" s="23" t="s">
        <v>1</v>
      </c>
      <c r="C376" s="24">
        <v>348.0</v>
      </c>
      <c r="D376" s="23" t="s">
        <v>21</v>
      </c>
      <c r="E376" s="23" t="s">
        <v>18</v>
      </c>
      <c r="F376" s="23" t="s">
        <v>25</v>
      </c>
      <c r="G376" s="38"/>
      <c r="H376" s="36"/>
    </row>
    <row r="377" ht="15.75" customHeight="1">
      <c r="A377" s="35">
        <v>45959.0</v>
      </c>
      <c r="B377" s="23" t="s">
        <v>1</v>
      </c>
      <c r="C377" s="24">
        <v>987.0</v>
      </c>
      <c r="D377" s="23" t="s">
        <v>21</v>
      </c>
      <c r="E377" s="23" t="s">
        <v>18</v>
      </c>
      <c r="F377" s="23" t="s">
        <v>25</v>
      </c>
      <c r="G377" s="38"/>
      <c r="H377" s="36"/>
    </row>
    <row r="378" ht="15.75" customHeight="1">
      <c r="A378" s="35">
        <v>45960.0</v>
      </c>
      <c r="B378" s="23" t="s">
        <v>1</v>
      </c>
      <c r="C378" s="24">
        <v>483.0</v>
      </c>
      <c r="D378" s="23" t="s">
        <v>21</v>
      </c>
      <c r="E378" s="23" t="s">
        <v>18</v>
      </c>
      <c r="F378" s="23" t="s">
        <v>25</v>
      </c>
      <c r="G378" s="38"/>
      <c r="H378" s="36"/>
    </row>
    <row r="379" ht="15.75" customHeight="1">
      <c r="A379" s="35">
        <v>45961.0</v>
      </c>
      <c r="B379" s="23" t="s">
        <v>1</v>
      </c>
      <c r="C379" s="24">
        <v>3060.0</v>
      </c>
      <c r="D379" s="23" t="s">
        <v>21</v>
      </c>
      <c r="E379" s="23" t="s">
        <v>32</v>
      </c>
      <c r="F379" s="23" t="s">
        <v>33</v>
      </c>
      <c r="G379" s="29" t="s">
        <v>76</v>
      </c>
      <c r="H379" s="36"/>
    </row>
    <row r="380" ht="15.75" customHeight="1">
      <c r="A380" s="35">
        <v>45961.0</v>
      </c>
      <c r="B380" s="23" t="s">
        <v>1</v>
      </c>
      <c r="C380" s="24">
        <v>1262.0</v>
      </c>
      <c r="D380" s="23" t="s">
        <v>21</v>
      </c>
      <c r="E380" s="23" t="s">
        <v>32</v>
      </c>
      <c r="F380" s="23" t="s">
        <v>33</v>
      </c>
      <c r="G380" s="29" t="s">
        <v>92</v>
      </c>
      <c r="H380" s="36"/>
    </row>
    <row r="381" ht="15.75" customHeight="1">
      <c r="A381" s="35">
        <v>45961.0</v>
      </c>
      <c r="B381" s="23" t="s">
        <v>1</v>
      </c>
      <c r="C381" s="24">
        <v>2354.0</v>
      </c>
      <c r="D381" s="23" t="s">
        <v>21</v>
      </c>
      <c r="E381" s="23" t="s">
        <v>32</v>
      </c>
      <c r="F381" s="23" t="s">
        <v>33</v>
      </c>
      <c r="G381" s="29" t="s">
        <v>82</v>
      </c>
      <c r="H381" s="36"/>
    </row>
    <row r="382" ht="15.75" customHeight="1">
      <c r="A382" s="35">
        <v>45961.0</v>
      </c>
      <c r="B382" s="23" t="s">
        <v>1</v>
      </c>
      <c r="C382" s="24">
        <v>819.0</v>
      </c>
      <c r="D382" s="23" t="s">
        <v>21</v>
      </c>
      <c r="E382" s="23" t="s">
        <v>32</v>
      </c>
      <c r="F382" s="23" t="s">
        <v>33</v>
      </c>
      <c r="G382" s="29" t="s">
        <v>34</v>
      </c>
      <c r="H382" s="36"/>
    </row>
    <row r="383" ht="15.75" customHeight="1">
      <c r="A383" s="35">
        <v>45963.0</v>
      </c>
      <c r="B383" s="23" t="s">
        <v>1</v>
      </c>
      <c r="C383" s="24">
        <v>521.0</v>
      </c>
      <c r="D383" s="23" t="s">
        <v>21</v>
      </c>
      <c r="E383" s="23" t="s">
        <v>18</v>
      </c>
      <c r="F383" s="23" t="s">
        <v>25</v>
      </c>
      <c r="G383" s="31"/>
      <c r="H383" s="36"/>
    </row>
    <row r="384" ht="15.75" customHeight="1">
      <c r="A384" s="35">
        <v>45966.0</v>
      </c>
      <c r="B384" s="23" t="s">
        <v>1</v>
      </c>
      <c r="C384" s="24">
        <v>398.0</v>
      </c>
      <c r="D384" s="23" t="s">
        <v>21</v>
      </c>
      <c r="E384" s="23" t="s">
        <v>18</v>
      </c>
      <c r="F384" s="23" t="s">
        <v>25</v>
      </c>
      <c r="G384" s="31"/>
      <c r="H384" s="36"/>
    </row>
    <row r="385" ht="15.75" customHeight="1">
      <c r="A385" s="35">
        <v>45967.0</v>
      </c>
      <c r="B385" s="23" t="s">
        <v>1</v>
      </c>
      <c r="C385" s="24">
        <v>748.0</v>
      </c>
      <c r="D385" s="23" t="s">
        <v>21</v>
      </c>
      <c r="E385" s="23" t="s">
        <v>18</v>
      </c>
      <c r="F385" s="23" t="s">
        <v>25</v>
      </c>
      <c r="G385" s="38"/>
      <c r="H385" s="36"/>
    </row>
    <row r="386" ht="15.75" customHeight="1">
      <c r="A386" s="35">
        <v>45969.0</v>
      </c>
      <c r="B386" s="23" t="s">
        <v>1</v>
      </c>
      <c r="C386" s="24">
        <v>852.0</v>
      </c>
      <c r="D386" s="23" t="s">
        <v>21</v>
      </c>
      <c r="E386" s="23" t="s">
        <v>18</v>
      </c>
      <c r="F386" s="23" t="s">
        <v>25</v>
      </c>
      <c r="G386" s="38"/>
      <c r="H386" s="36"/>
    </row>
    <row r="387" ht="15.75" customHeight="1">
      <c r="A387" s="22"/>
      <c r="B387" s="23" t="s">
        <v>1</v>
      </c>
      <c r="C387" s="24">
        <v>6485.0</v>
      </c>
      <c r="D387" s="23" t="s">
        <v>21</v>
      </c>
      <c r="E387" s="23" t="s">
        <v>18</v>
      </c>
      <c r="F387" s="23" t="s">
        <v>25</v>
      </c>
      <c r="G387" s="38"/>
      <c r="H387" s="36"/>
    </row>
    <row r="388" ht="15.75" customHeight="1">
      <c r="A388" s="74">
        <v>45978.0</v>
      </c>
      <c r="B388" s="75" t="s">
        <v>1</v>
      </c>
      <c r="C388" s="76">
        <v>1421.0</v>
      </c>
      <c r="D388" s="75" t="s">
        <v>21</v>
      </c>
      <c r="E388" s="75" t="s">
        <v>18</v>
      </c>
      <c r="F388" s="83"/>
      <c r="G388" s="78"/>
      <c r="H388" s="79" t="s">
        <v>41</v>
      </c>
    </row>
    <row r="389" ht="15.75" customHeight="1">
      <c r="A389" s="35">
        <v>45979.0</v>
      </c>
      <c r="B389" s="23" t="s">
        <v>1</v>
      </c>
      <c r="C389" s="24">
        <v>13000.0</v>
      </c>
      <c r="D389" s="23" t="s">
        <v>21</v>
      </c>
      <c r="E389" s="23" t="s">
        <v>18</v>
      </c>
      <c r="F389" s="25"/>
      <c r="G389" s="38"/>
      <c r="H389" s="41" t="s">
        <v>94</v>
      </c>
    </row>
    <row r="390" ht="15.75" customHeight="1">
      <c r="A390" s="35">
        <v>45979.0</v>
      </c>
      <c r="B390" s="23" t="s">
        <v>1</v>
      </c>
      <c r="C390" s="24">
        <v>3000.0</v>
      </c>
      <c r="D390" s="23" t="s">
        <v>21</v>
      </c>
      <c r="E390" s="23" t="s">
        <v>18</v>
      </c>
      <c r="F390" s="23" t="s">
        <v>0</v>
      </c>
      <c r="G390" s="38"/>
      <c r="H390" s="41"/>
    </row>
    <row r="391" ht="15.75" customHeight="1">
      <c r="A391" s="35">
        <v>45980.0</v>
      </c>
      <c r="B391" s="23" t="s">
        <v>1</v>
      </c>
      <c r="C391" s="24">
        <v>4942.0</v>
      </c>
      <c r="D391" s="23" t="s">
        <v>21</v>
      </c>
      <c r="E391" s="23" t="s">
        <v>18</v>
      </c>
      <c r="F391" s="23" t="s">
        <v>25</v>
      </c>
      <c r="G391" s="38"/>
      <c r="H391" s="36"/>
    </row>
    <row r="392" ht="15.75" customHeight="1">
      <c r="A392" s="35">
        <v>45991.0</v>
      </c>
      <c r="B392" s="23" t="s">
        <v>1</v>
      </c>
      <c r="C392" s="24">
        <v>3893.0</v>
      </c>
      <c r="D392" s="23" t="s">
        <v>21</v>
      </c>
      <c r="E392" s="23" t="s">
        <v>32</v>
      </c>
      <c r="F392" s="23" t="s">
        <v>33</v>
      </c>
      <c r="G392" s="29" t="s">
        <v>34</v>
      </c>
      <c r="H392" s="36"/>
    </row>
    <row r="393" ht="15.75" customHeight="1">
      <c r="A393" s="35">
        <v>45991.0</v>
      </c>
      <c r="B393" s="23" t="s">
        <v>1</v>
      </c>
      <c r="C393" s="24">
        <v>4284.0</v>
      </c>
      <c r="D393" s="23" t="s">
        <v>21</v>
      </c>
      <c r="E393" s="23" t="s">
        <v>32</v>
      </c>
      <c r="F393" s="23" t="s">
        <v>33</v>
      </c>
      <c r="G393" s="29" t="s">
        <v>82</v>
      </c>
      <c r="H393" s="36"/>
    </row>
    <row r="394" ht="15.75" customHeight="1">
      <c r="A394" s="35">
        <v>45991.0</v>
      </c>
      <c r="B394" s="23" t="s">
        <v>1</v>
      </c>
      <c r="C394" s="24">
        <v>3493.0</v>
      </c>
      <c r="D394" s="23" t="s">
        <v>21</v>
      </c>
      <c r="E394" s="23" t="s">
        <v>32</v>
      </c>
      <c r="F394" s="23" t="s">
        <v>33</v>
      </c>
      <c r="G394" s="29" t="s">
        <v>92</v>
      </c>
      <c r="H394" s="36"/>
    </row>
    <row r="395" ht="15.75" customHeight="1">
      <c r="A395" s="35">
        <v>45991.0</v>
      </c>
      <c r="B395" s="23" t="s">
        <v>1</v>
      </c>
      <c r="C395" s="24">
        <v>5090.0</v>
      </c>
      <c r="D395" s="23" t="s">
        <v>21</v>
      </c>
      <c r="E395" s="23" t="s">
        <v>32</v>
      </c>
      <c r="F395" s="23" t="s">
        <v>33</v>
      </c>
      <c r="G395" s="29" t="s">
        <v>76</v>
      </c>
      <c r="H395" s="36"/>
    </row>
    <row r="396" ht="15.75" customHeight="1">
      <c r="A396" s="35">
        <v>45995.0</v>
      </c>
      <c r="B396" s="23" t="s">
        <v>1</v>
      </c>
      <c r="C396" s="24">
        <v>500.0</v>
      </c>
      <c r="D396" s="23" t="s">
        <v>21</v>
      </c>
      <c r="E396" s="23" t="s">
        <v>18</v>
      </c>
      <c r="F396" s="37"/>
      <c r="G396" s="31"/>
      <c r="H396" s="30" t="s">
        <v>95</v>
      </c>
    </row>
    <row r="397" ht="15.75" customHeight="1">
      <c r="A397" s="35">
        <v>45998.0</v>
      </c>
      <c r="B397" s="23" t="s">
        <v>1</v>
      </c>
      <c r="C397" s="24">
        <v>700.0</v>
      </c>
      <c r="D397" s="23" t="s">
        <v>21</v>
      </c>
      <c r="E397" s="23" t="s">
        <v>18</v>
      </c>
      <c r="F397" s="25"/>
      <c r="G397" s="29" t="s">
        <v>92</v>
      </c>
      <c r="H397" s="30" t="s">
        <v>96</v>
      </c>
    </row>
    <row r="398" ht="15.75" customHeight="1">
      <c r="A398" s="35">
        <v>45998.0</v>
      </c>
      <c r="B398" s="23" t="s">
        <v>1</v>
      </c>
      <c r="C398" s="24">
        <v>100.0</v>
      </c>
      <c r="D398" s="23" t="s">
        <v>21</v>
      </c>
      <c r="E398" s="23" t="s">
        <v>18</v>
      </c>
      <c r="F398" s="25"/>
      <c r="G398" s="29" t="s">
        <v>76</v>
      </c>
      <c r="H398" s="30" t="s">
        <v>90</v>
      </c>
    </row>
    <row r="399" ht="15.75" customHeight="1">
      <c r="A399" s="35">
        <v>45998.0</v>
      </c>
      <c r="B399" s="23" t="s">
        <v>1</v>
      </c>
      <c r="C399" s="24">
        <v>1400.0</v>
      </c>
      <c r="D399" s="23" t="s">
        <v>21</v>
      </c>
      <c r="E399" s="23" t="s">
        <v>18</v>
      </c>
      <c r="F399" s="23" t="s">
        <v>97</v>
      </c>
      <c r="G399" s="38"/>
      <c r="H399" s="30" t="s">
        <v>98</v>
      </c>
    </row>
    <row r="400" ht="15.75" customHeight="1">
      <c r="A400" s="35">
        <v>45998.0</v>
      </c>
      <c r="B400" s="23" t="s">
        <v>1</v>
      </c>
      <c r="C400" s="24">
        <v>10656.0</v>
      </c>
      <c r="D400" s="23" t="s">
        <v>21</v>
      </c>
      <c r="E400" s="23" t="s">
        <v>18</v>
      </c>
      <c r="F400" s="23" t="s">
        <v>25</v>
      </c>
      <c r="G400" s="38"/>
      <c r="H400" s="30" t="s">
        <v>99</v>
      </c>
    </row>
    <row r="401" ht="15.75" customHeight="1">
      <c r="A401" s="22"/>
      <c r="B401" s="25"/>
      <c r="C401" s="24"/>
      <c r="D401" s="37"/>
      <c r="E401" s="23"/>
      <c r="F401" s="37"/>
      <c r="G401" s="38"/>
      <c r="H401" s="36"/>
    </row>
    <row r="402" ht="15.75" customHeight="1">
      <c r="A402" s="35">
        <v>46011.0</v>
      </c>
      <c r="B402" s="23" t="s">
        <v>1</v>
      </c>
      <c r="C402" s="24">
        <v>2329.0</v>
      </c>
      <c r="D402" s="23" t="s">
        <v>21</v>
      </c>
      <c r="E402" s="23" t="s">
        <v>32</v>
      </c>
      <c r="F402" s="23" t="s">
        <v>33</v>
      </c>
      <c r="G402" s="29" t="s">
        <v>34</v>
      </c>
      <c r="H402" s="36"/>
    </row>
    <row r="403" ht="15.75" customHeight="1">
      <c r="A403" s="35">
        <v>46011.0</v>
      </c>
      <c r="B403" s="23" t="s">
        <v>1</v>
      </c>
      <c r="C403" s="84">
        <v>2766.0</v>
      </c>
      <c r="D403" s="23" t="s">
        <v>21</v>
      </c>
      <c r="E403" s="23" t="s">
        <v>32</v>
      </c>
      <c r="F403" s="23" t="s">
        <v>33</v>
      </c>
      <c r="G403" s="29" t="s">
        <v>82</v>
      </c>
      <c r="H403" s="36"/>
    </row>
    <row r="404" ht="15.75" customHeight="1">
      <c r="A404" s="35">
        <v>46011.0</v>
      </c>
      <c r="B404" s="23" t="s">
        <v>1</v>
      </c>
      <c r="C404" s="84">
        <v>2607.0</v>
      </c>
      <c r="D404" s="23" t="s">
        <v>21</v>
      </c>
      <c r="E404" s="23" t="s">
        <v>32</v>
      </c>
      <c r="F404" s="23" t="s">
        <v>33</v>
      </c>
      <c r="G404" s="29" t="s">
        <v>92</v>
      </c>
      <c r="H404" s="36"/>
    </row>
    <row r="405" ht="15.75" customHeight="1">
      <c r="A405" s="35">
        <v>46011.0</v>
      </c>
      <c r="B405" s="23" t="s">
        <v>1</v>
      </c>
      <c r="C405" s="24">
        <v>3085.0</v>
      </c>
      <c r="D405" s="23" t="s">
        <v>21</v>
      </c>
      <c r="E405" s="23" t="s">
        <v>32</v>
      </c>
      <c r="F405" s="23" t="s">
        <v>33</v>
      </c>
      <c r="G405" s="29" t="s">
        <v>76</v>
      </c>
      <c r="H405" s="36"/>
    </row>
    <row r="406" ht="15.75" customHeight="1">
      <c r="A406" s="35">
        <v>46013.0</v>
      </c>
      <c r="B406" s="23" t="s">
        <v>1</v>
      </c>
      <c r="C406" s="24">
        <v>6400.0</v>
      </c>
      <c r="D406" s="23" t="s">
        <v>21</v>
      </c>
      <c r="E406" s="23" t="s">
        <v>18</v>
      </c>
      <c r="F406" s="25"/>
      <c r="G406" s="38"/>
      <c r="H406" s="30" t="s">
        <v>100</v>
      </c>
    </row>
    <row r="407" ht="15.75" customHeight="1">
      <c r="A407" s="35">
        <v>46020.0</v>
      </c>
      <c r="B407" s="23" t="s">
        <v>1</v>
      </c>
      <c r="C407" s="24">
        <v>1050.0</v>
      </c>
      <c r="D407" s="23" t="s">
        <v>21</v>
      </c>
      <c r="E407" s="23" t="s">
        <v>18</v>
      </c>
      <c r="F407" s="23" t="s">
        <v>25</v>
      </c>
      <c r="G407" s="38"/>
      <c r="H407" s="36"/>
    </row>
    <row r="408" ht="15.75" customHeight="1">
      <c r="A408" s="35">
        <v>46019.0</v>
      </c>
      <c r="B408" s="23" t="s">
        <v>1</v>
      </c>
      <c r="C408" s="24">
        <v>840.0</v>
      </c>
      <c r="D408" s="23" t="s">
        <v>21</v>
      </c>
      <c r="E408" s="23" t="s">
        <v>18</v>
      </c>
      <c r="F408" s="23" t="s">
        <v>72</v>
      </c>
      <c r="G408" s="38"/>
      <c r="H408" s="36"/>
    </row>
    <row r="409" ht="15.75" customHeight="1">
      <c r="A409" s="35">
        <v>46019.0</v>
      </c>
      <c r="B409" s="23" t="s">
        <v>1</v>
      </c>
      <c r="C409" s="24">
        <v>4083.0</v>
      </c>
      <c r="D409" s="23" t="s">
        <v>21</v>
      </c>
      <c r="E409" s="23" t="s">
        <v>32</v>
      </c>
      <c r="F409" s="23" t="s">
        <v>33</v>
      </c>
      <c r="G409" s="29" t="s">
        <v>76</v>
      </c>
      <c r="H409" s="36"/>
    </row>
    <row r="410" ht="15.75" customHeight="1">
      <c r="A410" s="35">
        <v>46022.0</v>
      </c>
      <c r="B410" s="23" t="s">
        <v>1</v>
      </c>
      <c r="C410" s="24">
        <v>924.0</v>
      </c>
      <c r="D410" s="23" t="s">
        <v>21</v>
      </c>
      <c r="E410" s="23" t="s">
        <v>32</v>
      </c>
      <c r="F410" s="23" t="s">
        <v>33</v>
      </c>
      <c r="G410" s="29" t="s">
        <v>76</v>
      </c>
      <c r="H410" s="36"/>
    </row>
    <row r="411" ht="15.75" customHeight="1">
      <c r="A411" s="35">
        <v>46022.0</v>
      </c>
      <c r="B411" s="23" t="s">
        <v>1</v>
      </c>
      <c r="C411" s="24">
        <v>2292.0</v>
      </c>
      <c r="D411" s="23" t="s">
        <v>21</v>
      </c>
      <c r="E411" s="23" t="s">
        <v>32</v>
      </c>
      <c r="F411" s="23" t="s">
        <v>33</v>
      </c>
      <c r="G411" s="29" t="s">
        <v>34</v>
      </c>
      <c r="H411" s="36"/>
    </row>
    <row r="412" ht="15.75" customHeight="1">
      <c r="A412" s="35">
        <v>46022.0</v>
      </c>
      <c r="B412" s="23" t="s">
        <v>1</v>
      </c>
      <c r="C412" s="24">
        <v>1192.0</v>
      </c>
      <c r="D412" s="23" t="s">
        <v>21</v>
      </c>
      <c r="E412" s="23" t="s">
        <v>32</v>
      </c>
      <c r="F412" s="23" t="s">
        <v>33</v>
      </c>
      <c r="G412" s="29" t="s">
        <v>92</v>
      </c>
      <c r="H412" s="36"/>
    </row>
    <row r="413" ht="15.75" customHeight="1">
      <c r="A413" s="35">
        <v>46022.0</v>
      </c>
      <c r="B413" s="23" t="s">
        <v>1</v>
      </c>
      <c r="C413" s="24">
        <v>2349.0</v>
      </c>
      <c r="D413" s="23" t="s">
        <v>21</v>
      </c>
      <c r="E413" s="23" t="s">
        <v>32</v>
      </c>
      <c r="F413" s="23" t="s">
        <v>33</v>
      </c>
      <c r="G413" s="29" t="s">
        <v>82</v>
      </c>
      <c r="H413" s="36"/>
    </row>
    <row r="414" ht="15.75" customHeight="1">
      <c r="A414" s="35">
        <v>46027.0</v>
      </c>
      <c r="B414" s="23" t="s">
        <v>1</v>
      </c>
      <c r="C414" s="24">
        <v>11810.0</v>
      </c>
      <c r="D414" s="23" t="s">
        <v>21</v>
      </c>
      <c r="E414" s="23" t="s">
        <v>18</v>
      </c>
      <c r="F414" s="23" t="s">
        <v>59</v>
      </c>
      <c r="G414" s="38"/>
      <c r="H414" s="36"/>
    </row>
    <row r="415" ht="15.75" customHeight="1">
      <c r="A415" s="35">
        <v>46028.0</v>
      </c>
      <c r="B415" s="23" t="s">
        <v>1</v>
      </c>
      <c r="C415" s="24">
        <v>500.0</v>
      </c>
      <c r="D415" s="23" t="s">
        <v>21</v>
      </c>
      <c r="E415" s="23" t="s">
        <v>18</v>
      </c>
      <c r="F415" s="25"/>
      <c r="G415" s="38"/>
      <c r="H415" s="30" t="s">
        <v>101</v>
      </c>
    </row>
    <row r="416" ht="15.75" customHeight="1">
      <c r="A416" s="35">
        <v>46038.0</v>
      </c>
      <c r="B416" s="23" t="s">
        <v>1</v>
      </c>
      <c r="C416" s="24">
        <v>8000.0</v>
      </c>
      <c r="D416" s="23" t="s">
        <v>21</v>
      </c>
      <c r="E416" s="23" t="s">
        <v>18</v>
      </c>
      <c r="F416" s="23" t="s">
        <v>25</v>
      </c>
      <c r="G416" s="38"/>
      <c r="H416" s="36"/>
    </row>
    <row r="417" ht="15.75" customHeight="1">
      <c r="A417" s="35">
        <v>46038.0</v>
      </c>
      <c r="B417" s="23" t="s">
        <v>1</v>
      </c>
      <c r="C417" s="24">
        <v>3040.0</v>
      </c>
      <c r="D417" s="23" t="s">
        <v>21</v>
      </c>
      <c r="E417" s="23" t="s">
        <v>18</v>
      </c>
      <c r="F417" s="23" t="s">
        <v>25</v>
      </c>
      <c r="G417" s="38"/>
      <c r="H417" s="36"/>
    </row>
    <row r="418" ht="15.75" customHeight="1">
      <c r="A418" s="35">
        <v>46037.0</v>
      </c>
      <c r="B418" s="23" t="s">
        <v>1</v>
      </c>
      <c r="C418" s="24">
        <v>2473.0</v>
      </c>
      <c r="D418" s="23" t="s">
        <v>21</v>
      </c>
      <c r="E418" s="23" t="s">
        <v>32</v>
      </c>
      <c r="F418" s="23" t="s">
        <v>33</v>
      </c>
      <c r="G418" s="29" t="s">
        <v>92</v>
      </c>
      <c r="H418" s="36"/>
    </row>
    <row r="419" ht="15.75" customHeight="1">
      <c r="A419" s="35">
        <v>46037.0</v>
      </c>
      <c r="B419" s="23" t="s">
        <v>1</v>
      </c>
      <c r="C419" s="24">
        <v>4513.0</v>
      </c>
      <c r="D419" s="23" t="s">
        <v>21</v>
      </c>
      <c r="E419" s="23" t="s">
        <v>32</v>
      </c>
      <c r="F419" s="23" t="s">
        <v>33</v>
      </c>
      <c r="G419" s="29" t="s">
        <v>76</v>
      </c>
      <c r="H419" s="36"/>
    </row>
    <row r="420" ht="15.75" customHeight="1">
      <c r="A420" s="35">
        <v>46040.0</v>
      </c>
      <c r="B420" s="23" t="s">
        <v>1</v>
      </c>
      <c r="C420" s="24">
        <v>1966.0</v>
      </c>
      <c r="D420" s="23" t="s">
        <v>21</v>
      </c>
      <c r="E420" s="23" t="s">
        <v>18</v>
      </c>
      <c r="F420" s="23" t="s">
        <v>25</v>
      </c>
      <c r="G420" s="38"/>
      <c r="H420" s="36"/>
    </row>
    <row r="421" ht="15.75" customHeight="1">
      <c r="A421" s="35">
        <v>46042.0</v>
      </c>
      <c r="B421" s="23" t="s">
        <v>1</v>
      </c>
      <c r="C421" s="24">
        <v>2383.0</v>
      </c>
      <c r="D421" s="23" t="s">
        <v>21</v>
      </c>
      <c r="E421" s="23" t="s">
        <v>32</v>
      </c>
      <c r="F421" s="23" t="s">
        <v>33</v>
      </c>
      <c r="G421" s="29" t="s">
        <v>34</v>
      </c>
      <c r="H421" s="36"/>
    </row>
    <row r="422" ht="15.75" customHeight="1">
      <c r="A422" s="35">
        <v>46043.0</v>
      </c>
      <c r="B422" s="23" t="s">
        <v>1</v>
      </c>
      <c r="C422" s="24">
        <v>2426.0</v>
      </c>
      <c r="D422" s="23" t="s">
        <v>21</v>
      </c>
      <c r="E422" s="23" t="s">
        <v>32</v>
      </c>
      <c r="F422" s="23" t="s">
        <v>33</v>
      </c>
      <c r="G422" s="29" t="s">
        <v>92</v>
      </c>
      <c r="H422" s="36"/>
    </row>
    <row r="423" ht="15.75" customHeight="1">
      <c r="A423" s="35">
        <v>46037.0</v>
      </c>
      <c r="B423" s="23" t="s">
        <v>1</v>
      </c>
      <c r="C423" s="24">
        <v>700.0</v>
      </c>
      <c r="D423" s="23" t="s">
        <v>21</v>
      </c>
      <c r="E423" s="23" t="s">
        <v>18</v>
      </c>
      <c r="F423" s="25"/>
      <c r="G423" s="38"/>
      <c r="H423" s="30" t="s">
        <v>102</v>
      </c>
    </row>
    <row r="424" ht="15.75" customHeight="1">
      <c r="A424" s="35">
        <v>46044.0</v>
      </c>
      <c r="B424" s="23" t="s">
        <v>1</v>
      </c>
      <c r="C424" s="24">
        <v>300.0</v>
      </c>
      <c r="D424" s="23" t="s">
        <v>21</v>
      </c>
      <c r="E424" s="23" t="s">
        <v>18</v>
      </c>
      <c r="F424" s="25"/>
      <c r="G424" s="38"/>
      <c r="H424" s="30" t="s">
        <v>103</v>
      </c>
    </row>
    <row r="425" ht="15.75" customHeight="1">
      <c r="A425" s="35">
        <v>46044.0</v>
      </c>
      <c r="B425" s="23" t="s">
        <v>1</v>
      </c>
      <c r="C425" s="24">
        <v>3397.0</v>
      </c>
      <c r="D425" s="23" t="s">
        <v>21</v>
      </c>
      <c r="E425" s="23" t="s">
        <v>18</v>
      </c>
      <c r="F425" s="23" t="s">
        <v>25</v>
      </c>
      <c r="G425" s="38"/>
      <c r="H425" s="36"/>
    </row>
    <row r="426" ht="15.75" customHeight="1">
      <c r="A426" s="35">
        <v>46045.0</v>
      </c>
      <c r="B426" s="23" t="s">
        <v>1</v>
      </c>
      <c r="C426" s="24">
        <v>2000.0</v>
      </c>
      <c r="D426" s="23" t="s">
        <v>21</v>
      </c>
      <c r="E426" s="23" t="s">
        <v>18</v>
      </c>
      <c r="F426" s="23" t="s">
        <v>104</v>
      </c>
      <c r="G426" s="38"/>
      <c r="H426" s="30" t="s">
        <v>105</v>
      </c>
    </row>
    <row r="427" ht="15.75" customHeight="1">
      <c r="A427" s="35">
        <v>46045.0</v>
      </c>
      <c r="B427" s="23" t="s">
        <v>1</v>
      </c>
      <c r="C427" s="24">
        <v>3614.0</v>
      </c>
      <c r="D427" s="23" t="s">
        <v>21</v>
      </c>
      <c r="E427" s="23" t="s">
        <v>32</v>
      </c>
      <c r="F427" s="23" t="s">
        <v>33</v>
      </c>
      <c r="G427" s="29" t="s">
        <v>82</v>
      </c>
      <c r="H427" s="36"/>
    </row>
    <row r="428" ht="15.75" customHeight="1">
      <c r="A428" s="35">
        <v>46047.0</v>
      </c>
      <c r="B428" s="23" t="s">
        <v>1</v>
      </c>
      <c r="C428" s="24">
        <v>320.0</v>
      </c>
      <c r="D428" s="23" t="s">
        <v>21</v>
      </c>
      <c r="E428" s="23" t="s">
        <v>18</v>
      </c>
      <c r="F428" s="25"/>
      <c r="G428" s="38"/>
      <c r="H428" s="36"/>
    </row>
    <row r="429" ht="15.75" customHeight="1">
      <c r="A429" s="35">
        <v>46047.0</v>
      </c>
      <c r="B429" s="23" t="s">
        <v>1</v>
      </c>
      <c r="C429" s="24">
        <v>140.0</v>
      </c>
      <c r="D429" s="23" t="s">
        <v>21</v>
      </c>
      <c r="E429" s="23" t="s">
        <v>18</v>
      </c>
      <c r="F429" s="25"/>
      <c r="G429" s="38"/>
      <c r="H429" s="36"/>
    </row>
    <row r="430" ht="15.75" customHeight="1">
      <c r="A430" s="35">
        <v>46049.0</v>
      </c>
      <c r="B430" s="23" t="s">
        <v>1</v>
      </c>
      <c r="C430" s="24">
        <v>2085.0</v>
      </c>
      <c r="D430" s="23" t="s">
        <v>21</v>
      </c>
      <c r="E430" s="23" t="s">
        <v>18</v>
      </c>
      <c r="F430" s="23" t="s">
        <v>25</v>
      </c>
      <c r="G430" s="38"/>
      <c r="H430" s="36"/>
    </row>
    <row r="431" ht="15.75" customHeight="1">
      <c r="A431" s="35">
        <v>46047.0</v>
      </c>
      <c r="B431" s="23" t="s">
        <v>1</v>
      </c>
      <c r="C431" s="24">
        <v>3621.0</v>
      </c>
      <c r="D431" s="23" t="s">
        <v>21</v>
      </c>
      <c r="E431" s="23" t="s">
        <v>32</v>
      </c>
      <c r="F431" s="23" t="s">
        <v>33</v>
      </c>
      <c r="G431" s="29" t="s">
        <v>76</v>
      </c>
      <c r="H431" s="36"/>
    </row>
    <row r="432" ht="15.75" customHeight="1">
      <c r="A432" s="35">
        <v>46053.0</v>
      </c>
      <c r="B432" s="23" t="s">
        <v>1</v>
      </c>
      <c r="C432" s="24">
        <v>3018.0</v>
      </c>
      <c r="D432" s="23" t="s">
        <v>21</v>
      </c>
      <c r="E432" s="23" t="s">
        <v>32</v>
      </c>
      <c r="F432" s="23" t="s">
        <v>33</v>
      </c>
      <c r="G432" s="29" t="s">
        <v>106</v>
      </c>
      <c r="H432" s="36"/>
    </row>
    <row r="433" ht="15.75" customHeight="1">
      <c r="A433" s="35">
        <v>46053.0</v>
      </c>
      <c r="B433" s="23" t="s">
        <v>1</v>
      </c>
      <c r="C433" s="24">
        <v>1265.0</v>
      </c>
      <c r="D433" s="23" t="s">
        <v>21</v>
      </c>
      <c r="E433" s="23" t="s">
        <v>32</v>
      </c>
      <c r="F433" s="23" t="s">
        <v>33</v>
      </c>
      <c r="G433" s="29" t="s">
        <v>92</v>
      </c>
      <c r="H433" s="36"/>
    </row>
    <row r="434" ht="15.75" customHeight="1">
      <c r="A434" s="35">
        <v>46053.0</v>
      </c>
      <c r="B434" s="23" t="s">
        <v>1</v>
      </c>
      <c r="C434" s="24">
        <v>2210.0</v>
      </c>
      <c r="D434" s="23" t="s">
        <v>21</v>
      </c>
      <c r="E434" s="23" t="s">
        <v>32</v>
      </c>
      <c r="F434" s="23" t="s">
        <v>33</v>
      </c>
      <c r="G434" s="29" t="s">
        <v>76</v>
      </c>
      <c r="H434" s="36"/>
    </row>
    <row r="435" ht="15.75" customHeight="1">
      <c r="A435" s="35">
        <v>46053.0</v>
      </c>
      <c r="B435" s="23" t="s">
        <v>1</v>
      </c>
      <c r="C435" s="24">
        <v>3000.0</v>
      </c>
      <c r="D435" s="23" t="s">
        <v>21</v>
      </c>
      <c r="E435" s="23" t="s">
        <v>18</v>
      </c>
      <c r="F435" s="25"/>
      <c r="G435" s="38"/>
      <c r="H435" s="36"/>
    </row>
    <row r="436" ht="15.75" customHeight="1">
      <c r="A436" s="35">
        <v>46053.0</v>
      </c>
      <c r="B436" s="23" t="s">
        <v>1</v>
      </c>
      <c r="C436" s="24">
        <v>2921.0</v>
      </c>
      <c r="D436" s="23" t="s">
        <v>21</v>
      </c>
      <c r="E436" s="23" t="s">
        <v>18</v>
      </c>
      <c r="F436" s="25"/>
      <c r="G436" s="38"/>
      <c r="H436" s="36"/>
    </row>
    <row r="437" ht="15.75" customHeight="1">
      <c r="A437" s="35">
        <v>46053.0</v>
      </c>
      <c r="B437" s="23" t="s">
        <v>1</v>
      </c>
      <c r="C437" s="24">
        <v>511.0</v>
      </c>
      <c r="D437" s="23" t="s">
        <v>21</v>
      </c>
      <c r="E437" s="23" t="s">
        <v>32</v>
      </c>
      <c r="F437" s="23" t="s">
        <v>33</v>
      </c>
      <c r="G437" s="29" t="s">
        <v>34</v>
      </c>
      <c r="H437" s="36"/>
    </row>
    <row r="438" ht="15.75" customHeight="1">
      <c r="A438" s="35">
        <v>46053.0</v>
      </c>
      <c r="B438" s="23" t="s">
        <v>1</v>
      </c>
      <c r="C438" s="24">
        <v>1378.0</v>
      </c>
      <c r="D438" s="23" t="s">
        <v>21</v>
      </c>
      <c r="E438" s="23" t="s">
        <v>32</v>
      </c>
      <c r="F438" s="23" t="s">
        <v>33</v>
      </c>
      <c r="G438" s="29" t="s">
        <v>82</v>
      </c>
      <c r="H438" s="36"/>
    </row>
    <row r="439" ht="15.75" customHeight="1">
      <c r="A439" s="35">
        <v>46055.0</v>
      </c>
      <c r="B439" s="23" t="s">
        <v>1</v>
      </c>
      <c r="C439" s="24">
        <v>500.0</v>
      </c>
      <c r="D439" s="23" t="s">
        <v>21</v>
      </c>
      <c r="E439" s="23" t="s">
        <v>18</v>
      </c>
      <c r="F439" s="25"/>
      <c r="G439" s="38"/>
      <c r="H439" s="41" t="s">
        <v>107</v>
      </c>
    </row>
    <row r="440" ht="15.75" customHeight="1">
      <c r="A440" s="35">
        <v>46055.0</v>
      </c>
      <c r="B440" s="23" t="s">
        <v>1</v>
      </c>
      <c r="C440" s="24">
        <v>500.0</v>
      </c>
      <c r="D440" s="23" t="s">
        <v>21</v>
      </c>
      <c r="E440" s="23" t="s">
        <v>18</v>
      </c>
      <c r="F440" s="23" t="s">
        <v>63</v>
      </c>
      <c r="G440" s="38"/>
      <c r="H440" s="41" t="s">
        <v>108</v>
      </c>
    </row>
    <row r="441" ht="15.75" customHeight="1">
      <c r="A441" s="35">
        <v>46056.0</v>
      </c>
      <c r="B441" s="23" t="s">
        <v>1</v>
      </c>
      <c r="C441" s="24">
        <v>3197.0</v>
      </c>
      <c r="D441" s="23" t="s">
        <v>21</v>
      </c>
      <c r="E441" s="23" t="s">
        <v>18</v>
      </c>
      <c r="F441" s="23" t="s">
        <v>25</v>
      </c>
      <c r="G441" s="38"/>
      <c r="H441" s="36"/>
    </row>
    <row r="442" ht="15.75" customHeight="1">
      <c r="A442" s="35">
        <v>46056.0</v>
      </c>
      <c r="B442" s="23" t="s">
        <v>1</v>
      </c>
      <c r="C442" s="24">
        <v>6000.0</v>
      </c>
      <c r="D442" s="23" t="s">
        <v>21</v>
      </c>
      <c r="E442" s="23" t="s">
        <v>32</v>
      </c>
      <c r="F442" s="23" t="s">
        <v>38</v>
      </c>
      <c r="G442" s="38"/>
      <c r="H442" s="30" t="s">
        <v>109</v>
      </c>
    </row>
    <row r="443" ht="15.75" customHeight="1">
      <c r="A443" s="35">
        <v>46056.0</v>
      </c>
      <c r="B443" s="23" t="s">
        <v>1</v>
      </c>
      <c r="C443" s="24">
        <v>1500.0</v>
      </c>
      <c r="D443" s="23" t="s">
        <v>21</v>
      </c>
      <c r="E443" s="23" t="s">
        <v>18</v>
      </c>
      <c r="F443" s="23" t="s">
        <v>97</v>
      </c>
      <c r="G443" s="38"/>
      <c r="H443" s="30" t="s">
        <v>110</v>
      </c>
    </row>
    <row r="444" ht="15.75" customHeight="1">
      <c r="A444" s="35">
        <v>46058.0</v>
      </c>
      <c r="B444" s="23" t="s">
        <v>1</v>
      </c>
      <c r="C444" s="24">
        <v>950.0</v>
      </c>
      <c r="D444" s="23" t="s">
        <v>21</v>
      </c>
      <c r="E444" s="23" t="s">
        <v>18</v>
      </c>
      <c r="F444" s="23" t="s">
        <v>0</v>
      </c>
      <c r="G444" s="38"/>
      <c r="H444" s="36"/>
    </row>
    <row r="445" ht="15.75" customHeight="1">
      <c r="A445" s="35">
        <v>46060.0</v>
      </c>
      <c r="B445" s="23" t="s">
        <v>1</v>
      </c>
      <c r="C445" s="24">
        <v>557.0</v>
      </c>
      <c r="D445" s="23" t="s">
        <v>21</v>
      </c>
      <c r="E445" s="23" t="s">
        <v>32</v>
      </c>
      <c r="F445" s="23" t="s">
        <v>33</v>
      </c>
      <c r="G445" s="29" t="s">
        <v>82</v>
      </c>
      <c r="H445" s="36"/>
    </row>
    <row r="446" ht="15.75" customHeight="1">
      <c r="A446" s="35">
        <v>46060.0</v>
      </c>
      <c r="B446" s="23" t="s">
        <v>1</v>
      </c>
      <c r="C446" s="24">
        <v>1824.0</v>
      </c>
      <c r="D446" s="23" t="s">
        <v>21</v>
      </c>
      <c r="E446" s="23" t="s">
        <v>32</v>
      </c>
      <c r="F446" s="23" t="s">
        <v>33</v>
      </c>
      <c r="G446" s="29" t="s">
        <v>111</v>
      </c>
      <c r="H446" s="36"/>
    </row>
    <row r="447" ht="15.75" customHeight="1">
      <c r="A447" s="35">
        <v>46060.0</v>
      </c>
      <c r="B447" s="23" t="s">
        <v>1</v>
      </c>
      <c r="C447" s="24">
        <v>2487.0</v>
      </c>
      <c r="D447" s="23" t="s">
        <v>21</v>
      </c>
      <c r="E447" s="23" t="s">
        <v>32</v>
      </c>
      <c r="F447" s="23" t="s">
        <v>33</v>
      </c>
      <c r="G447" s="29" t="s">
        <v>76</v>
      </c>
      <c r="H447" s="36"/>
    </row>
    <row r="448" ht="15.75" customHeight="1">
      <c r="A448" s="35">
        <v>46060.0</v>
      </c>
      <c r="B448" s="23" t="s">
        <v>1</v>
      </c>
      <c r="C448" s="24">
        <v>771.0</v>
      </c>
      <c r="D448" s="23" t="s">
        <v>21</v>
      </c>
      <c r="E448" s="23" t="s">
        <v>18</v>
      </c>
      <c r="F448" s="23" t="s">
        <v>25</v>
      </c>
      <c r="G448" s="31"/>
      <c r="H448" s="36"/>
    </row>
    <row r="449" ht="15.75" customHeight="1">
      <c r="A449" s="35">
        <v>46061.0</v>
      </c>
      <c r="B449" s="23" t="s">
        <v>1</v>
      </c>
      <c r="C449" s="24">
        <v>1727.0</v>
      </c>
      <c r="D449" s="23" t="s">
        <v>21</v>
      </c>
      <c r="E449" s="23" t="s">
        <v>32</v>
      </c>
      <c r="F449" s="23" t="s">
        <v>33</v>
      </c>
      <c r="G449" s="29" t="s">
        <v>92</v>
      </c>
      <c r="H449" s="36"/>
    </row>
    <row r="450" ht="15.75" customHeight="1">
      <c r="A450" s="35">
        <v>46061.0</v>
      </c>
      <c r="B450" s="23" t="s">
        <v>1</v>
      </c>
      <c r="C450" s="24">
        <v>167.0</v>
      </c>
      <c r="D450" s="23" t="s">
        <v>21</v>
      </c>
      <c r="E450" s="23" t="s">
        <v>18</v>
      </c>
      <c r="F450" s="23" t="s">
        <v>25</v>
      </c>
      <c r="G450" s="38"/>
      <c r="H450" s="36"/>
    </row>
    <row r="451" ht="15.75" customHeight="1">
      <c r="A451" s="35">
        <v>46062.0</v>
      </c>
      <c r="B451" s="23" t="s">
        <v>1</v>
      </c>
      <c r="C451" s="24">
        <v>340.0</v>
      </c>
      <c r="D451" s="23" t="s">
        <v>21</v>
      </c>
      <c r="E451" s="23" t="s">
        <v>18</v>
      </c>
      <c r="F451" s="23" t="s">
        <v>25</v>
      </c>
      <c r="G451" s="38"/>
      <c r="H451" s="36"/>
    </row>
    <row r="452" ht="15.75" customHeight="1">
      <c r="A452" s="35">
        <v>46064.0</v>
      </c>
      <c r="B452" s="23" t="s">
        <v>1</v>
      </c>
      <c r="C452" s="24">
        <v>1251.0</v>
      </c>
      <c r="D452" s="23" t="s">
        <v>21</v>
      </c>
      <c r="E452" s="23" t="s">
        <v>32</v>
      </c>
      <c r="F452" s="23" t="s">
        <v>33</v>
      </c>
      <c r="G452" s="29" t="s">
        <v>82</v>
      </c>
      <c r="H452" s="36"/>
    </row>
    <row r="453" ht="15.75" customHeight="1">
      <c r="A453" s="35">
        <v>46064.0</v>
      </c>
      <c r="B453" s="23" t="s">
        <v>1</v>
      </c>
      <c r="C453" s="24">
        <v>1196.0</v>
      </c>
      <c r="D453" s="23" t="s">
        <v>21</v>
      </c>
      <c r="E453" s="23" t="s">
        <v>32</v>
      </c>
      <c r="F453" s="23" t="s">
        <v>33</v>
      </c>
      <c r="G453" s="29" t="s">
        <v>92</v>
      </c>
      <c r="H453" s="36"/>
    </row>
    <row r="454" ht="15.75" customHeight="1">
      <c r="A454" s="35">
        <v>46064.0</v>
      </c>
      <c r="B454" s="23" t="s">
        <v>1</v>
      </c>
      <c r="C454" s="24">
        <v>700.0</v>
      </c>
      <c r="D454" s="23" t="s">
        <v>21</v>
      </c>
      <c r="E454" s="23" t="s">
        <v>32</v>
      </c>
      <c r="F454" s="23" t="s">
        <v>33</v>
      </c>
      <c r="G454" s="29" t="s">
        <v>76</v>
      </c>
      <c r="H454" s="36"/>
    </row>
    <row r="455" ht="15.75" customHeight="1">
      <c r="A455" s="35">
        <v>46065.0</v>
      </c>
      <c r="B455" s="23" t="s">
        <v>1</v>
      </c>
      <c r="C455" s="24">
        <v>1050.0</v>
      </c>
      <c r="D455" s="23" t="s">
        <v>21</v>
      </c>
      <c r="E455" s="23" t="s">
        <v>18</v>
      </c>
      <c r="F455" s="23" t="s">
        <v>25</v>
      </c>
      <c r="G455" s="38"/>
      <c r="H455" s="36"/>
    </row>
    <row r="456" ht="15.75" customHeight="1">
      <c r="A456" s="35">
        <v>46066.0</v>
      </c>
      <c r="B456" s="23" t="s">
        <v>1</v>
      </c>
      <c r="C456" s="24">
        <v>2217.0</v>
      </c>
      <c r="D456" s="23" t="s">
        <v>21</v>
      </c>
      <c r="E456" s="23" t="s">
        <v>18</v>
      </c>
      <c r="F456" s="23" t="s">
        <v>25</v>
      </c>
      <c r="G456" s="38"/>
      <c r="H456" s="36"/>
    </row>
    <row r="457" ht="15.75" customHeight="1">
      <c r="A457" s="35">
        <v>46067.0</v>
      </c>
      <c r="B457" s="23" t="s">
        <v>1</v>
      </c>
      <c r="C457" s="24">
        <v>1753.0</v>
      </c>
      <c r="D457" s="23" t="s">
        <v>21</v>
      </c>
      <c r="E457" s="23" t="s">
        <v>32</v>
      </c>
      <c r="F457" s="23" t="s">
        <v>33</v>
      </c>
      <c r="G457" s="29" t="s">
        <v>111</v>
      </c>
      <c r="H457" s="36"/>
    </row>
    <row r="458" ht="15.75" customHeight="1">
      <c r="A458" s="35">
        <v>46067.0</v>
      </c>
      <c r="B458" s="23" t="s">
        <v>1</v>
      </c>
      <c r="C458" s="24">
        <v>1146.0</v>
      </c>
      <c r="D458" s="23" t="s">
        <v>21</v>
      </c>
      <c r="E458" s="23" t="s">
        <v>18</v>
      </c>
      <c r="F458" s="23" t="s">
        <v>25</v>
      </c>
      <c r="G458" s="38"/>
      <c r="H458" s="36"/>
    </row>
    <row r="459" ht="15.75" customHeight="1">
      <c r="A459" s="35">
        <v>46068.0</v>
      </c>
      <c r="B459" s="23" t="s">
        <v>1</v>
      </c>
      <c r="C459" s="24">
        <v>1661.0</v>
      </c>
      <c r="D459" s="23" t="s">
        <v>21</v>
      </c>
      <c r="E459" s="23" t="s">
        <v>18</v>
      </c>
      <c r="F459" s="23" t="s">
        <v>25</v>
      </c>
      <c r="G459" s="38"/>
      <c r="H459" s="36"/>
    </row>
    <row r="460" ht="15.75" customHeight="1">
      <c r="A460" s="35">
        <v>46068.0</v>
      </c>
      <c r="B460" s="23" t="s">
        <v>1</v>
      </c>
      <c r="C460" s="24">
        <v>979.0</v>
      </c>
      <c r="D460" s="23" t="s">
        <v>21</v>
      </c>
      <c r="E460" s="23" t="s">
        <v>32</v>
      </c>
      <c r="F460" s="23" t="s">
        <v>33</v>
      </c>
      <c r="G460" s="29" t="s">
        <v>92</v>
      </c>
      <c r="H460" s="36"/>
    </row>
    <row r="461" ht="15.75" customHeight="1">
      <c r="A461" s="35">
        <v>46068.0</v>
      </c>
      <c r="B461" s="23" t="s">
        <v>1</v>
      </c>
      <c r="C461" s="24">
        <v>1667.0</v>
      </c>
      <c r="D461" s="23" t="s">
        <v>21</v>
      </c>
      <c r="E461" s="23" t="s">
        <v>32</v>
      </c>
      <c r="F461" s="23" t="s">
        <v>33</v>
      </c>
      <c r="G461" s="29" t="s">
        <v>112</v>
      </c>
      <c r="H461" s="36"/>
    </row>
    <row r="462" ht="15.75" customHeight="1">
      <c r="A462" s="35">
        <v>46068.0</v>
      </c>
      <c r="B462" s="23" t="s">
        <v>1</v>
      </c>
      <c r="C462" s="24">
        <v>1300.0</v>
      </c>
      <c r="D462" s="23" t="s">
        <v>21</v>
      </c>
      <c r="E462" s="23" t="s">
        <v>32</v>
      </c>
      <c r="F462" s="23" t="s">
        <v>33</v>
      </c>
      <c r="G462" s="29" t="s">
        <v>76</v>
      </c>
      <c r="H462" s="36"/>
    </row>
    <row r="463" ht="15.75" customHeight="1">
      <c r="A463" s="35">
        <v>46069.0</v>
      </c>
      <c r="B463" s="23" t="s">
        <v>1</v>
      </c>
      <c r="C463" s="24">
        <v>1501.0</v>
      </c>
      <c r="D463" s="23" t="s">
        <v>21</v>
      </c>
      <c r="E463" s="23" t="s">
        <v>18</v>
      </c>
      <c r="F463" s="23" t="s">
        <v>25</v>
      </c>
      <c r="G463" s="38"/>
      <c r="H463" s="36"/>
    </row>
    <row r="464" ht="15.75" customHeight="1">
      <c r="A464" s="35">
        <v>46070.0</v>
      </c>
      <c r="B464" s="23" t="s">
        <v>1</v>
      </c>
      <c r="C464" s="24">
        <v>1882.0</v>
      </c>
      <c r="D464" s="23" t="s">
        <v>21</v>
      </c>
      <c r="E464" s="23" t="s">
        <v>32</v>
      </c>
      <c r="F464" s="23" t="s">
        <v>33</v>
      </c>
      <c r="G464" s="29" t="s">
        <v>34</v>
      </c>
      <c r="H464" s="36"/>
    </row>
    <row r="465" ht="15.75" customHeight="1">
      <c r="A465" s="35">
        <v>46070.0</v>
      </c>
      <c r="B465" s="23" t="s">
        <v>1</v>
      </c>
      <c r="C465" s="24">
        <v>2385.0</v>
      </c>
      <c r="D465" s="23" t="s">
        <v>21</v>
      </c>
      <c r="E465" s="23" t="s">
        <v>32</v>
      </c>
      <c r="F465" s="23" t="s">
        <v>33</v>
      </c>
      <c r="G465" s="29" t="s">
        <v>106</v>
      </c>
      <c r="H465" s="36"/>
    </row>
    <row r="466" ht="15.75" customHeight="1">
      <c r="A466" s="35">
        <v>46071.0</v>
      </c>
      <c r="B466" s="23" t="s">
        <v>1</v>
      </c>
      <c r="C466" s="24">
        <v>987.0</v>
      </c>
      <c r="D466" s="23" t="s">
        <v>21</v>
      </c>
      <c r="E466" s="23" t="s">
        <v>18</v>
      </c>
      <c r="F466" s="23" t="s">
        <v>25</v>
      </c>
      <c r="G466" s="38"/>
      <c r="H466" s="36"/>
    </row>
    <row r="467" ht="15.75" customHeight="1">
      <c r="A467" s="35">
        <v>46071.0</v>
      </c>
      <c r="B467" s="23" t="s">
        <v>1</v>
      </c>
      <c r="C467" s="24">
        <v>690.0</v>
      </c>
      <c r="D467" s="23" t="s">
        <v>21</v>
      </c>
      <c r="E467" s="23" t="s">
        <v>18</v>
      </c>
      <c r="F467" s="25"/>
      <c r="G467" s="38"/>
      <c r="H467" s="30" t="s">
        <v>113</v>
      </c>
    </row>
    <row r="468" ht="15.75" customHeight="1">
      <c r="A468" s="35">
        <v>46065.0</v>
      </c>
      <c r="B468" s="23" t="s">
        <v>1</v>
      </c>
      <c r="C468" s="24">
        <v>700.0</v>
      </c>
      <c r="D468" s="23" t="s">
        <v>21</v>
      </c>
      <c r="E468" s="23" t="s">
        <v>18</v>
      </c>
      <c r="F468" s="25"/>
      <c r="G468" s="38"/>
      <c r="H468" s="30" t="s">
        <v>114</v>
      </c>
    </row>
    <row r="469" ht="15.75" customHeight="1">
      <c r="A469" s="35">
        <v>46066.0</v>
      </c>
      <c r="B469" s="23" t="s">
        <v>1</v>
      </c>
      <c r="C469" s="24">
        <v>130.0</v>
      </c>
      <c r="D469" s="23" t="s">
        <v>21</v>
      </c>
      <c r="E469" s="23" t="s">
        <v>18</v>
      </c>
      <c r="F469" s="25"/>
      <c r="G469" s="38"/>
      <c r="H469" s="30" t="s">
        <v>115</v>
      </c>
    </row>
    <row r="470" ht="15.75" customHeight="1">
      <c r="A470" s="35">
        <v>46068.0</v>
      </c>
      <c r="B470" s="23" t="s">
        <v>1</v>
      </c>
      <c r="C470" s="24">
        <v>3000.0</v>
      </c>
      <c r="D470" s="23" t="s">
        <v>21</v>
      </c>
      <c r="E470" s="23" t="s">
        <v>18</v>
      </c>
      <c r="F470" s="23" t="s">
        <v>63</v>
      </c>
      <c r="G470" s="29" t="s">
        <v>34</v>
      </c>
      <c r="H470" s="30" t="s">
        <v>116</v>
      </c>
    </row>
    <row r="471" ht="15.75" customHeight="1">
      <c r="A471" s="35">
        <v>46069.0</v>
      </c>
      <c r="B471" s="23" t="s">
        <v>1</v>
      </c>
      <c r="C471" s="24">
        <v>2800.0</v>
      </c>
      <c r="D471" s="23" t="s">
        <v>21</v>
      </c>
      <c r="E471" s="23" t="s">
        <v>18</v>
      </c>
      <c r="F471" s="23" t="s">
        <v>63</v>
      </c>
      <c r="G471" s="29" t="s">
        <v>76</v>
      </c>
      <c r="H471" s="30" t="s">
        <v>117</v>
      </c>
    </row>
    <row r="472" ht="15.75" customHeight="1">
      <c r="A472" s="35">
        <v>46070.0</v>
      </c>
      <c r="B472" s="23" t="s">
        <v>1</v>
      </c>
      <c r="C472" s="24">
        <v>260.0</v>
      </c>
      <c r="D472" s="23" t="s">
        <v>21</v>
      </c>
      <c r="E472" s="23" t="s">
        <v>18</v>
      </c>
      <c r="F472" s="25"/>
      <c r="G472" s="38"/>
      <c r="H472" s="36"/>
    </row>
    <row r="473" ht="15.75" customHeight="1">
      <c r="A473" s="35">
        <v>46073.0</v>
      </c>
      <c r="B473" s="23" t="s">
        <v>1</v>
      </c>
      <c r="C473" s="24">
        <v>7500.0</v>
      </c>
      <c r="D473" s="23" t="s">
        <v>21</v>
      </c>
      <c r="E473" s="23" t="s">
        <v>18</v>
      </c>
      <c r="F473" s="25"/>
      <c r="G473" s="38"/>
      <c r="H473" s="30" t="s">
        <v>62</v>
      </c>
    </row>
    <row r="474" ht="15.75" customHeight="1">
      <c r="A474" s="35">
        <v>46073.0</v>
      </c>
      <c r="B474" s="23" t="s">
        <v>1</v>
      </c>
      <c r="C474" s="24">
        <v>500.0</v>
      </c>
      <c r="D474" s="23" t="s">
        <v>21</v>
      </c>
      <c r="E474" s="23" t="s">
        <v>18</v>
      </c>
      <c r="F474" s="23" t="s">
        <v>0</v>
      </c>
      <c r="G474" s="38"/>
      <c r="H474" s="36"/>
    </row>
    <row r="475" ht="15.75" customHeight="1">
      <c r="A475" s="35">
        <v>46074.0</v>
      </c>
      <c r="B475" s="23" t="s">
        <v>1</v>
      </c>
      <c r="C475" s="24">
        <v>1487.0</v>
      </c>
      <c r="D475" s="23" t="s">
        <v>21</v>
      </c>
      <c r="E475" s="23" t="s">
        <v>18</v>
      </c>
      <c r="F475" s="23" t="s">
        <v>25</v>
      </c>
      <c r="G475" s="38"/>
      <c r="H475" s="36"/>
    </row>
    <row r="476" ht="15.75" customHeight="1">
      <c r="A476" s="35">
        <v>46081.0</v>
      </c>
      <c r="B476" s="23" t="s">
        <v>1</v>
      </c>
      <c r="C476" s="24">
        <v>2308.0</v>
      </c>
      <c r="D476" s="23" t="s">
        <v>21</v>
      </c>
      <c r="E476" s="23" t="s">
        <v>18</v>
      </c>
      <c r="F476" s="23" t="s">
        <v>25</v>
      </c>
      <c r="G476" s="38"/>
      <c r="H476" s="36"/>
    </row>
    <row r="477" ht="15.75" customHeight="1">
      <c r="A477" s="35">
        <v>46081.0</v>
      </c>
      <c r="B477" s="23" t="s">
        <v>1</v>
      </c>
      <c r="C477" s="24">
        <v>549.0</v>
      </c>
      <c r="D477" s="23" t="s">
        <v>21</v>
      </c>
      <c r="E477" s="23" t="s">
        <v>32</v>
      </c>
      <c r="F477" s="23" t="s">
        <v>33</v>
      </c>
      <c r="G477" s="29" t="s">
        <v>92</v>
      </c>
      <c r="H477" s="36"/>
    </row>
    <row r="478" ht="15.75" customHeight="1">
      <c r="A478" s="35">
        <v>46081.0</v>
      </c>
      <c r="B478" s="23" t="s">
        <v>1</v>
      </c>
      <c r="C478" s="24">
        <v>2380.0</v>
      </c>
      <c r="D478" s="23" t="s">
        <v>21</v>
      </c>
      <c r="E478" s="23" t="s">
        <v>32</v>
      </c>
      <c r="F478" s="23" t="s">
        <v>33</v>
      </c>
      <c r="G478" s="29" t="s">
        <v>118</v>
      </c>
      <c r="H478" s="36"/>
    </row>
    <row r="479" ht="15.75" customHeight="1">
      <c r="A479" s="35">
        <v>46081.0</v>
      </c>
      <c r="B479" s="23" t="s">
        <v>1</v>
      </c>
      <c r="C479" s="24">
        <v>2433.0</v>
      </c>
      <c r="D479" s="23" t="s">
        <v>21</v>
      </c>
      <c r="E479" s="23" t="s">
        <v>32</v>
      </c>
      <c r="F479" s="23" t="s">
        <v>33</v>
      </c>
      <c r="G479" s="29" t="s">
        <v>82</v>
      </c>
      <c r="H479" s="36"/>
    </row>
    <row r="480" ht="15.75" customHeight="1">
      <c r="A480" s="35">
        <v>46081.0</v>
      </c>
      <c r="B480" s="23" t="s">
        <v>1</v>
      </c>
      <c r="C480" s="24">
        <v>1129.0</v>
      </c>
      <c r="D480" s="23" t="s">
        <v>21</v>
      </c>
      <c r="E480" s="23" t="s">
        <v>32</v>
      </c>
      <c r="F480" s="23" t="s">
        <v>33</v>
      </c>
      <c r="G480" s="29" t="s">
        <v>106</v>
      </c>
      <c r="H480" s="36"/>
    </row>
    <row r="481" ht="15.75" customHeight="1">
      <c r="A481" s="35">
        <v>46081.0</v>
      </c>
      <c r="B481" s="23" t="s">
        <v>1</v>
      </c>
      <c r="C481" s="24">
        <v>505.0</v>
      </c>
      <c r="D481" s="23" t="s">
        <v>21</v>
      </c>
      <c r="E481" s="23" t="s">
        <v>32</v>
      </c>
      <c r="F481" s="23" t="s">
        <v>33</v>
      </c>
      <c r="G481" s="29" t="s">
        <v>34</v>
      </c>
      <c r="H481" s="36"/>
    </row>
    <row r="482" ht="15.75" customHeight="1">
      <c r="A482" s="35">
        <v>46081.0</v>
      </c>
      <c r="B482" s="23" t="s">
        <v>1</v>
      </c>
      <c r="C482" s="24">
        <v>2486.0</v>
      </c>
      <c r="D482" s="23" t="s">
        <v>21</v>
      </c>
      <c r="E482" s="23" t="s">
        <v>32</v>
      </c>
      <c r="F482" s="23" t="s">
        <v>33</v>
      </c>
      <c r="G482" s="29" t="s">
        <v>112</v>
      </c>
      <c r="H482" s="36"/>
    </row>
    <row r="483" ht="15.75" customHeight="1">
      <c r="A483" s="35">
        <v>46081.0</v>
      </c>
      <c r="B483" s="23" t="s">
        <v>1</v>
      </c>
      <c r="C483" s="24">
        <v>2987.0</v>
      </c>
      <c r="D483" s="23" t="s">
        <v>21</v>
      </c>
      <c r="E483" s="23" t="s">
        <v>32</v>
      </c>
      <c r="F483" s="23" t="s">
        <v>33</v>
      </c>
      <c r="G483" s="29" t="s">
        <v>76</v>
      </c>
      <c r="H483" s="36"/>
    </row>
    <row r="484" ht="15.75" customHeight="1">
      <c r="A484" s="35">
        <v>46081.0</v>
      </c>
      <c r="B484" s="23" t="s">
        <v>1</v>
      </c>
      <c r="C484" s="24">
        <v>328.75</v>
      </c>
      <c r="D484" s="23" t="s">
        <v>21</v>
      </c>
      <c r="E484" s="23" t="s">
        <v>18</v>
      </c>
      <c r="F484" s="23" t="s">
        <v>0</v>
      </c>
      <c r="G484" s="38"/>
      <c r="H484" s="36"/>
    </row>
    <row r="485" ht="15.75" customHeight="1">
      <c r="A485" s="35">
        <v>46082.0</v>
      </c>
      <c r="B485" s="23" t="s">
        <v>1</v>
      </c>
      <c r="C485" s="24">
        <v>1600.0</v>
      </c>
      <c r="D485" s="23" t="s">
        <v>21</v>
      </c>
      <c r="E485" s="23" t="s">
        <v>18</v>
      </c>
      <c r="F485" s="23" t="s">
        <v>97</v>
      </c>
      <c r="G485" s="38"/>
      <c r="H485" s="36"/>
    </row>
    <row r="486" ht="15.75" customHeight="1">
      <c r="A486" s="35">
        <v>46084.0</v>
      </c>
      <c r="B486" s="23" t="s">
        <v>1</v>
      </c>
      <c r="C486" s="24">
        <v>1058.0</v>
      </c>
      <c r="D486" s="23" t="s">
        <v>21</v>
      </c>
      <c r="E486" s="23" t="s">
        <v>18</v>
      </c>
      <c r="F486" s="23" t="s">
        <v>25</v>
      </c>
      <c r="G486" s="38"/>
      <c r="H486" s="36"/>
    </row>
    <row r="487" ht="15.75" customHeight="1">
      <c r="A487" s="35">
        <v>46088.0</v>
      </c>
      <c r="B487" s="23" t="s">
        <v>1</v>
      </c>
      <c r="C487" s="24">
        <v>2006.0</v>
      </c>
      <c r="D487" s="23" t="s">
        <v>21</v>
      </c>
      <c r="E487" s="23" t="s">
        <v>18</v>
      </c>
      <c r="F487" s="23" t="s">
        <v>25</v>
      </c>
      <c r="G487" s="38"/>
      <c r="H487" s="36"/>
    </row>
    <row r="488" ht="15.75" customHeight="1">
      <c r="A488" s="35">
        <v>46091.0</v>
      </c>
      <c r="B488" s="23" t="s">
        <v>1</v>
      </c>
      <c r="C488" s="24">
        <v>2844.0</v>
      </c>
      <c r="D488" s="23" t="s">
        <v>21</v>
      </c>
      <c r="E488" s="23" t="s">
        <v>18</v>
      </c>
      <c r="F488" s="23" t="s">
        <v>25</v>
      </c>
      <c r="G488" s="38"/>
      <c r="H488" s="36"/>
    </row>
    <row r="489" ht="15.75" customHeight="1">
      <c r="A489" s="35">
        <v>46094.0</v>
      </c>
      <c r="B489" s="23" t="s">
        <v>1</v>
      </c>
      <c r="C489" s="24">
        <v>561.0</v>
      </c>
      <c r="D489" s="23" t="s">
        <v>21</v>
      </c>
      <c r="E489" s="23" t="s">
        <v>18</v>
      </c>
      <c r="F489" s="23" t="s">
        <v>0</v>
      </c>
      <c r="G489" s="38"/>
      <c r="H489" s="36"/>
    </row>
    <row r="490" ht="15.75" customHeight="1">
      <c r="A490" s="35">
        <v>46096.0</v>
      </c>
      <c r="B490" s="23" t="s">
        <v>1</v>
      </c>
      <c r="C490" s="24">
        <v>3184.0</v>
      </c>
      <c r="D490" s="23" t="s">
        <v>21</v>
      </c>
      <c r="E490" s="23" t="s">
        <v>18</v>
      </c>
      <c r="F490" s="23" t="s">
        <v>25</v>
      </c>
      <c r="G490" s="38"/>
      <c r="H490" s="36"/>
    </row>
    <row r="491" ht="15.75" customHeight="1">
      <c r="A491" s="35">
        <v>46098.0</v>
      </c>
      <c r="B491" s="23" t="s">
        <v>1</v>
      </c>
      <c r="C491" s="24">
        <v>3093.0</v>
      </c>
      <c r="D491" s="23" t="s">
        <v>21</v>
      </c>
      <c r="E491" s="23" t="s">
        <v>32</v>
      </c>
      <c r="F491" s="23" t="s">
        <v>33</v>
      </c>
      <c r="G491" s="29" t="s">
        <v>34</v>
      </c>
      <c r="H491" s="36"/>
    </row>
    <row r="492" ht="15.75" customHeight="1">
      <c r="A492" s="35">
        <v>46098.0</v>
      </c>
      <c r="B492" s="23" t="s">
        <v>1</v>
      </c>
      <c r="C492" s="24">
        <v>841.0</v>
      </c>
      <c r="D492" s="23" t="s">
        <v>21</v>
      </c>
      <c r="E492" s="23" t="s">
        <v>32</v>
      </c>
      <c r="F492" s="23" t="s">
        <v>33</v>
      </c>
      <c r="G492" s="29" t="s">
        <v>118</v>
      </c>
      <c r="H492" s="36"/>
    </row>
    <row r="493" ht="15.75" customHeight="1">
      <c r="A493" s="35">
        <v>46100.0</v>
      </c>
      <c r="B493" s="23" t="s">
        <v>1</v>
      </c>
      <c r="C493" s="24">
        <v>2076.0</v>
      </c>
      <c r="D493" s="23" t="s">
        <v>21</v>
      </c>
      <c r="E493" s="23" t="s">
        <v>18</v>
      </c>
      <c r="F493" s="23" t="s">
        <v>25</v>
      </c>
      <c r="G493" s="38"/>
      <c r="H493" s="36"/>
    </row>
    <row r="494" ht="15.75" customHeight="1">
      <c r="A494" s="35">
        <v>46103.0</v>
      </c>
      <c r="B494" s="23" t="s">
        <v>1</v>
      </c>
      <c r="C494" s="24">
        <v>1215.0</v>
      </c>
      <c r="D494" s="23" t="s">
        <v>21</v>
      </c>
      <c r="E494" s="23" t="s">
        <v>18</v>
      </c>
      <c r="F494" s="23" t="s">
        <v>25</v>
      </c>
      <c r="G494" s="38"/>
      <c r="H494" s="36"/>
    </row>
    <row r="495" ht="15.75" customHeight="1">
      <c r="A495" s="35">
        <v>46104.0</v>
      </c>
      <c r="B495" s="23" t="s">
        <v>1</v>
      </c>
      <c r="C495" s="24">
        <v>1084.0</v>
      </c>
      <c r="D495" s="23" t="s">
        <v>21</v>
      </c>
      <c r="E495" s="23" t="s">
        <v>18</v>
      </c>
      <c r="F495" s="23" t="s">
        <v>25</v>
      </c>
      <c r="G495" s="38"/>
      <c r="H495" s="36"/>
    </row>
    <row r="496" ht="15.75" customHeight="1">
      <c r="A496" s="35">
        <v>46105.0</v>
      </c>
      <c r="B496" s="23" t="s">
        <v>1</v>
      </c>
      <c r="C496" s="24">
        <v>5020.0</v>
      </c>
      <c r="D496" s="23" t="s">
        <v>21</v>
      </c>
      <c r="E496" s="23" t="s">
        <v>18</v>
      </c>
      <c r="F496" s="23" t="s">
        <v>25</v>
      </c>
      <c r="G496" s="38"/>
      <c r="H496" s="36"/>
    </row>
    <row r="497" ht="15.75" customHeight="1">
      <c r="A497" s="35">
        <v>46106.0</v>
      </c>
      <c r="B497" s="23" t="s">
        <v>1</v>
      </c>
      <c r="C497" s="24">
        <v>789.0</v>
      </c>
      <c r="D497" s="23" t="s">
        <v>21</v>
      </c>
      <c r="E497" s="23" t="s">
        <v>18</v>
      </c>
      <c r="F497" s="23" t="s">
        <v>25</v>
      </c>
      <c r="G497" s="38"/>
      <c r="H497" s="36"/>
    </row>
    <row r="498" ht="15.75" customHeight="1">
      <c r="A498" s="35">
        <v>46107.0</v>
      </c>
      <c r="B498" s="23" t="s">
        <v>1</v>
      </c>
      <c r="C498" s="24">
        <v>613.0</v>
      </c>
      <c r="D498" s="23" t="s">
        <v>21</v>
      </c>
      <c r="E498" s="23" t="s">
        <v>18</v>
      </c>
      <c r="F498" s="23" t="s">
        <v>25</v>
      </c>
      <c r="G498" s="38"/>
      <c r="H498" s="36"/>
    </row>
    <row r="499" ht="15.75" customHeight="1">
      <c r="A499" s="35">
        <v>46108.0</v>
      </c>
      <c r="B499" s="23" t="s">
        <v>1</v>
      </c>
      <c r="C499" s="24">
        <v>338.0</v>
      </c>
      <c r="D499" s="23" t="s">
        <v>21</v>
      </c>
      <c r="E499" s="23" t="s">
        <v>18</v>
      </c>
      <c r="F499" s="23" t="s">
        <v>0</v>
      </c>
      <c r="G499" s="38"/>
      <c r="H499" s="36"/>
    </row>
    <row r="500" ht="15.75" customHeight="1">
      <c r="A500" s="35">
        <v>46107.0</v>
      </c>
      <c r="B500" s="23" t="s">
        <v>1</v>
      </c>
      <c r="C500" s="24">
        <v>840.0</v>
      </c>
      <c r="D500" s="23" t="s">
        <v>21</v>
      </c>
      <c r="E500" s="23" t="s">
        <v>18</v>
      </c>
      <c r="F500" s="23" t="s">
        <v>72</v>
      </c>
      <c r="G500" s="38"/>
      <c r="H500" s="36"/>
    </row>
    <row r="501" ht="15.75" customHeight="1">
      <c r="A501" s="35">
        <v>46108.0</v>
      </c>
      <c r="B501" s="23" t="s">
        <v>1</v>
      </c>
      <c r="C501" s="24">
        <v>100.0</v>
      </c>
      <c r="D501" s="23" t="s">
        <v>21</v>
      </c>
      <c r="E501" s="23" t="s">
        <v>18</v>
      </c>
      <c r="F501" s="25"/>
      <c r="G501" s="85"/>
      <c r="H501" s="86"/>
    </row>
    <row r="502" ht="15.75" customHeight="1">
      <c r="A502" s="35">
        <v>46109.0</v>
      </c>
      <c r="B502" s="23" t="s">
        <v>1</v>
      </c>
      <c r="C502" s="24">
        <v>950.0</v>
      </c>
      <c r="D502" s="23" t="s">
        <v>21</v>
      </c>
      <c r="E502" s="23" t="s">
        <v>18</v>
      </c>
      <c r="F502" s="23" t="s">
        <v>63</v>
      </c>
      <c r="G502" s="87" t="s">
        <v>76</v>
      </c>
      <c r="H502" s="88" t="s">
        <v>119</v>
      </c>
    </row>
    <row r="503" ht="15.75" customHeight="1">
      <c r="A503" s="35">
        <v>46104.0</v>
      </c>
      <c r="B503" s="23" t="s">
        <v>1</v>
      </c>
      <c r="C503" s="24">
        <v>2756.0</v>
      </c>
      <c r="D503" s="23" t="s">
        <v>21</v>
      </c>
      <c r="E503" s="23" t="s">
        <v>32</v>
      </c>
      <c r="F503" s="23" t="s">
        <v>33</v>
      </c>
      <c r="G503" s="87" t="s">
        <v>34</v>
      </c>
      <c r="H503" s="86"/>
    </row>
    <row r="504" ht="15.75" customHeight="1">
      <c r="A504" s="35">
        <v>46104.0</v>
      </c>
      <c r="B504" s="23" t="s">
        <v>1</v>
      </c>
      <c r="C504" s="24">
        <v>9865.0</v>
      </c>
      <c r="D504" s="23" t="s">
        <v>21</v>
      </c>
      <c r="E504" s="23" t="s">
        <v>32</v>
      </c>
      <c r="F504" s="23" t="s">
        <v>33</v>
      </c>
      <c r="G504" s="87" t="s">
        <v>76</v>
      </c>
      <c r="H504" s="86"/>
    </row>
    <row r="505" ht="15.75" customHeight="1">
      <c r="A505" s="35">
        <v>46104.0</v>
      </c>
      <c r="B505" s="23" t="s">
        <v>1</v>
      </c>
      <c r="C505" s="24">
        <v>3805.0</v>
      </c>
      <c r="D505" s="23" t="s">
        <v>21</v>
      </c>
      <c r="E505" s="23" t="s">
        <v>32</v>
      </c>
      <c r="F505" s="23" t="s">
        <v>33</v>
      </c>
      <c r="G505" s="87" t="s">
        <v>112</v>
      </c>
      <c r="H505" s="86"/>
    </row>
    <row r="506" ht="15.75" customHeight="1">
      <c r="A506" s="35">
        <v>46104.0</v>
      </c>
      <c r="B506" s="23" t="s">
        <v>1</v>
      </c>
      <c r="C506" s="24">
        <v>3161.0</v>
      </c>
      <c r="D506" s="23" t="s">
        <v>21</v>
      </c>
      <c r="E506" s="23" t="s">
        <v>32</v>
      </c>
      <c r="F506" s="23" t="s">
        <v>33</v>
      </c>
      <c r="G506" s="87" t="s">
        <v>82</v>
      </c>
      <c r="H506" s="86"/>
    </row>
    <row r="507" ht="15.75" customHeight="1">
      <c r="A507" s="35">
        <v>46105.0</v>
      </c>
      <c r="B507" s="23" t="s">
        <v>1</v>
      </c>
      <c r="C507" s="24">
        <v>1395.0</v>
      </c>
      <c r="D507" s="23" t="s">
        <v>21</v>
      </c>
      <c r="E507" s="23" t="s">
        <v>32</v>
      </c>
      <c r="F507" s="23" t="s">
        <v>33</v>
      </c>
      <c r="G507" s="87" t="s">
        <v>76</v>
      </c>
      <c r="H507" s="86"/>
    </row>
    <row r="508" ht="15.75" customHeight="1">
      <c r="A508" s="35">
        <v>46109.0</v>
      </c>
      <c r="B508" s="23" t="s">
        <v>1</v>
      </c>
      <c r="C508" s="24">
        <v>2820.0</v>
      </c>
      <c r="D508" s="23" t="s">
        <v>21</v>
      </c>
      <c r="E508" s="23" t="s">
        <v>18</v>
      </c>
      <c r="F508" s="23" t="s">
        <v>25</v>
      </c>
      <c r="G508" s="85"/>
      <c r="H508" s="86"/>
    </row>
    <row r="509" ht="15.75" customHeight="1">
      <c r="A509" s="35">
        <v>46112.0</v>
      </c>
      <c r="B509" s="23" t="s">
        <v>1</v>
      </c>
      <c r="C509" s="24">
        <v>2604.0</v>
      </c>
      <c r="D509" s="23" t="s">
        <v>21</v>
      </c>
      <c r="E509" s="23" t="s">
        <v>32</v>
      </c>
      <c r="F509" s="23" t="s">
        <v>33</v>
      </c>
      <c r="G509" s="87" t="s">
        <v>34</v>
      </c>
      <c r="H509" s="86"/>
    </row>
    <row r="510" ht="15.75" customHeight="1">
      <c r="A510" s="35">
        <v>46112.0</v>
      </c>
      <c r="B510" s="23" t="s">
        <v>1</v>
      </c>
      <c r="C510" s="24">
        <v>1553.0</v>
      </c>
      <c r="D510" s="23" t="s">
        <v>21</v>
      </c>
      <c r="E510" s="23" t="s">
        <v>32</v>
      </c>
      <c r="F510" s="23" t="s">
        <v>33</v>
      </c>
      <c r="G510" s="87" t="s">
        <v>82</v>
      </c>
      <c r="H510" s="86"/>
    </row>
    <row r="511" ht="15.75" customHeight="1">
      <c r="A511" s="35">
        <v>46112.0</v>
      </c>
      <c r="B511" s="23" t="s">
        <v>1</v>
      </c>
      <c r="C511" s="24">
        <v>3086.0</v>
      </c>
      <c r="D511" s="23" t="s">
        <v>21</v>
      </c>
      <c r="E511" s="23" t="s">
        <v>32</v>
      </c>
      <c r="F511" s="23" t="s">
        <v>33</v>
      </c>
      <c r="G511" s="87" t="s">
        <v>76</v>
      </c>
      <c r="H511" s="86"/>
    </row>
    <row r="512" ht="15.75" customHeight="1">
      <c r="A512" s="35">
        <v>46112.0</v>
      </c>
      <c r="B512" s="23" t="s">
        <v>1</v>
      </c>
      <c r="C512" s="24">
        <v>1081.0</v>
      </c>
      <c r="D512" s="23" t="s">
        <v>21</v>
      </c>
      <c r="E512" s="23" t="s">
        <v>32</v>
      </c>
      <c r="F512" s="23" t="s">
        <v>33</v>
      </c>
      <c r="G512" s="87" t="s">
        <v>111</v>
      </c>
      <c r="H512" s="86"/>
    </row>
    <row r="513" ht="15.75" customHeight="1">
      <c r="A513" s="35">
        <v>46112.0</v>
      </c>
      <c r="B513" s="23" t="s">
        <v>1</v>
      </c>
      <c r="C513" s="24">
        <v>2778.0</v>
      </c>
      <c r="D513" s="23" t="s">
        <v>21</v>
      </c>
      <c r="E513" s="23" t="s">
        <v>32</v>
      </c>
      <c r="F513" s="23" t="s">
        <v>33</v>
      </c>
      <c r="G513" s="87" t="s">
        <v>112</v>
      </c>
      <c r="H513" s="86"/>
    </row>
    <row r="514" ht="15.75" customHeight="1">
      <c r="A514" s="35">
        <v>46112.0</v>
      </c>
      <c r="B514" s="23" t="s">
        <v>1</v>
      </c>
      <c r="C514" s="24">
        <v>350.0</v>
      </c>
      <c r="D514" s="23" t="s">
        <v>21</v>
      </c>
      <c r="E514" s="23" t="s">
        <v>18</v>
      </c>
      <c r="F514" s="25"/>
      <c r="G514" s="85"/>
      <c r="H514" s="88" t="s">
        <v>120</v>
      </c>
    </row>
    <row r="515" ht="15.75" customHeight="1">
      <c r="A515" s="35">
        <v>46112.0</v>
      </c>
      <c r="B515" s="23" t="s">
        <v>1</v>
      </c>
      <c r="C515" s="24">
        <v>150.0</v>
      </c>
      <c r="D515" s="23" t="s">
        <v>21</v>
      </c>
      <c r="E515" s="23" t="s">
        <v>18</v>
      </c>
      <c r="F515" s="23" t="s">
        <v>0</v>
      </c>
      <c r="G515" s="85"/>
      <c r="H515" s="86"/>
    </row>
    <row r="516" ht="15.75" customHeight="1">
      <c r="A516" s="35">
        <v>46114.0</v>
      </c>
      <c r="B516" s="23" t="s">
        <v>1</v>
      </c>
      <c r="C516" s="24">
        <v>3657.0</v>
      </c>
      <c r="D516" s="23" t="s">
        <v>21</v>
      </c>
      <c r="E516" s="23" t="s">
        <v>18</v>
      </c>
      <c r="F516" s="23" t="s">
        <v>25</v>
      </c>
      <c r="G516" s="85"/>
      <c r="H516" s="86"/>
    </row>
    <row r="517" ht="15.75" customHeight="1">
      <c r="A517" s="35">
        <v>46116.0</v>
      </c>
      <c r="B517" s="23" t="s">
        <v>1</v>
      </c>
      <c r="C517" s="24">
        <v>2000.0</v>
      </c>
      <c r="D517" s="23" t="s">
        <v>21</v>
      </c>
      <c r="E517" s="23" t="s">
        <v>18</v>
      </c>
      <c r="F517" s="23" t="s">
        <v>104</v>
      </c>
      <c r="G517" s="85"/>
      <c r="H517" s="88" t="s">
        <v>121</v>
      </c>
    </row>
    <row r="518" ht="15.75" customHeight="1">
      <c r="A518" s="35">
        <v>46116.0</v>
      </c>
      <c r="B518" s="23" t="s">
        <v>1</v>
      </c>
      <c r="C518" s="24">
        <v>1225.0</v>
      </c>
      <c r="D518" s="23" t="s">
        <v>21</v>
      </c>
      <c r="E518" s="23" t="s">
        <v>18</v>
      </c>
      <c r="F518" s="23" t="s">
        <v>25</v>
      </c>
      <c r="G518" s="85"/>
      <c r="H518" s="88"/>
    </row>
    <row r="519" ht="15.75" customHeight="1">
      <c r="A519" s="35">
        <v>46118.0</v>
      </c>
      <c r="B519" s="23" t="s">
        <v>1</v>
      </c>
      <c r="C519" s="24">
        <v>180.0</v>
      </c>
      <c r="D519" s="23" t="s">
        <v>21</v>
      </c>
      <c r="E519" s="23" t="s">
        <v>18</v>
      </c>
      <c r="F519" s="23" t="s">
        <v>25</v>
      </c>
      <c r="G519" s="85"/>
      <c r="H519" s="88"/>
    </row>
    <row r="520" ht="15.75" customHeight="1">
      <c r="A520" s="35">
        <v>46119.0</v>
      </c>
      <c r="B520" s="23" t="s">
        <v>1</v>
      </c>
      <c r="C520" s="24">
        <v>283.0</v>
      </c>
      <c r="D520" s="23" t="s">
        <v>21</v>
      </c>
      <c r="E520" s="23" t="s">
        <v>18</v>
      </c>
      <c r="F520" s="23" t="s">
        <v>25</v>
      </c>
      <c r="G520" s="85"/>
      <c r="H520" s="86"/>
    </row>
    <row r="521" ht="15.75" customHeight="1">
      <c r="A521" s="35">
        <v>46112.0</v>
      </c>
      <c r="B521" s="23" t="s">
        <v>1</v>
      </c>
      <c r="C521" s="24">
        <v>1500.0</v>
      </c>
      <c r="D521" s="23" t="s">
        <v>21</v>
      </c>
      <c r="E521" s="23" t="s">
        <v>18</v>
      </c>
      <c r="F521" s="23" t="s">
        <v>97</v>
      </c>
      <c r="G521" s="85"/>
      <c r="H521" s="86"/>
    </row>
    <row r="522" ht="15.75" customHeight="1">
      <c r="A522" s="35">
        <v>46120.0</v>
      </c>
      <c r="B522" s="23" t="s">
        <v>1</v>
      </c>
      <c r="C522" s="24">
        <v>546.0</v>
      </c>
      <c r="D522" s="23" t="s">
        <v>21</v>
      </c>
      <c r="E522" s="23" t="s">
        <v>18</v>
      </c>
      <c r="F522" s="25"/>
      <c r="G522" s="85"/>
      <c r="H522" s="88" t="s">
        <v>122</v>
      </c>
    </row>
    <row r="523" ht="15.75" customHeight="1">
      <c r="A523" s="35">
        <v>46121.0</v>
      </c>
      <c r="B523" s="23" t="s">
        <v>1</v>
      </c>
      <c r="C523" s="24">
        <v>1355.0</v>
      </c>
      <c r="D523" s="23" t="s">
        <v>21</v>
      </c>
      <c r="E523" s="23" t="s">
        <v>18</v>
      </c>
      <c r="F523" s="23" t="s">
        <v>25</v>
      </c>
      <c r="G523" s="85"/>
      <c r="H523" s="86"/>
    </row>
    <row r="524" ht="15.75" customHeight="1">
      <c r="A524" s="35">
        <v>46123.0</v>
      </c>
      <c r="B524" s="23" t="s">
        <v>1</v>
      </c>
      <c r="C524" s="24">
        <v>1651.0</v>
      </c>
      <c r="D524" s="23" t="s">
        <v>21</v>
      </c>
      <c r="E524" s="23" t="s">
        <v>32</v>
      </c>
      <c r="F524" s="23" t="s">
        <v>33</v>
      </c>
      <c r="G524" s="87" t="s">
        <v>82</v>
      </c>
      <c r="H524" s="86"/>
    </row>
    <row r="525" ht="15.75" customHeight="1">
      <c r="A525" s="35">
        <v>46123.0</v>
      </c>
      <c r="B525" s="23" t="s">
        <v>1</v>
      </c>
      <c r="C525" s="24">
        <v>2170.0</v>
      </c>
      <c r="D525" s="23" t="s">
        <v>21</v>
      </c>
      <c r="E525" s="23" t="s">
        <v>18</v>
      </c>
      <c r="F525" s="23" t="s">
        <v>25</v>
      </c>
      <c r="G525" s="89"/>
      <c r="H525" s="86"/>
    </row>
    <row r="526" ht="15.75" customHeight="1">
      <c r="A526" s="35">
        <v>46124.0</v>
      </c>
      <c r="B526" s="23" t="s">
        <v>1</v>
      </c>
      <c r="C526" s="24">
        <v>3494.0</v>
      </c>
      <c r="D526" s="23" t="s">
        <v>21</v>
      </c>
      <c r="E526" s="23" t="s">
        <v>32</v>
      </c>
      <c r="F526" s="23" t="s">
        <v>33</v>
      </c>
      <c r="G526" s="87" t="s">
        <v>111</v>
      </c>
      <c r="H526" s="86"/>
    </row>
    <row r="527" ht="15.75" customHeight="1">
      <c r="A527" s="35">
        <v>46124.0</v>
      </c>
      <c r="B527" s="23" t="s">
        <v>1</v>
      </c>
      <c r="C527" s="24">
        <v>1810.0</v>
      </c>
      <c r="D527" s="23" t="s">
        <v>21</v>
      </c>
      <c r="E527" s="23" t="s">
        <v>32</v>
      </c>
      <c r="F527" s="23" t="s">
        <v>33</v>
      </c>
      <c r="G527" s="87" t="s">
        <v>123</v>
      </c>
      <c r="H527" s="86"/>
    </row>
    <row r="528" ht="15.75" customHeight="1">
      <c r="A528" s="35">
        <v>46126.0</v>
      </c>
      <c r="B528" s="23" t="s">
        <v>1</v>
      </c>
      <c r="C528" s="24">
        <v>1575.0</v>
      </c>
      <c r="D528" s="23" t="s">
        <v>21</v>
      </c>
      <c r="E528" s="23" t="s">
        <v>18</v>
      </c>
      <c r="F528" s="23" t="s">
        <v>25</v>
      </c>
      <c r="G528" s="89"/>
      <c r="H528" s="86"/>
    </row>
    <row r="529" ht="15.75" customHeight="1">
      <c r="A529" s="35">
        <v>46126.0</v>
      </c>
      <c r="B529" s="23" t="s">
        <v>1</v>
      </c>
      <c r="C529" s="24">
        <v>6568.0</v>
      </c>
      <c r="D529" s="23" t="s">
        <v>21</v>
      </c>
      <c r="E529" s="23" t="s">
        <v>32</v>
      </c>
      <c r="F529" s="23" t="s">
        <v>33</v>
      </c>
      <c r="G529" s="87" t="s">
        <v>106</v>
      </c>
      <c r="H529" s="86"/>
    </row>
    <row r="530" ht="15.75" customHeight="1">
      <c r="A530" s="35">
        <v>46127.0</v>
      </c>
      <c r="B530" s="23" t="s">
        <v>1</v>
      </c>
      <c r="C530" s="24">
        <v>1888.0</v>
      </c>
      <c r="D530" s="23" t="s">
        <v>21</v>
      </c>
      <c r="E530" s="23" t="s">
        <v>32</v>
      </c>
      <c r="F530" s="23" t="s">
        <v>33</v>
      </c>
      <c r="G530" s="87" t="s">
        <v>123</v>
      </c>
      <c r="H530" s="86"/>
    </row>
    <row r="531" ht="15.75" customHeight="1">
      <c r="A531" s="35">
        <v>46127.0</v>
      </c>
      <c r="B531" s="23" t="s">
        <v>1</v>
      </c>
      <c r="C531" s="24">
        <v>1008.0</v>
      </c>
      <c r="D531" s="23" t="s">
        <v>21</v>
      </c>
      <c r="E531" s="23" t="s">
        <v>18</v>
      </c>
      <c r="F531" s="23" t="s">
        <v>25</v>
      </c>
      <c r="G531" s="89"/>
      <c r="H531" s="86"/>
    </row>
    <row r="532" ht="15.75" customHeight="1">
      <c r="A532" s="35">
        <v>46128.0</v>
      </c>
      <c r="B532" s="23" t="s">
        <v>1</v>
      </c>
      <c r="C532" s="24">
        <v>4312.0</v>
      </c>
      <c r="D532" s="23" t="s">
        <v>21</v>
      </c>
      <c r="E532" s="23" t="s">
        <v>32</v>
      </c>
      <c r="F532" s="23" t="s">
        <v>33</v>
      </c>
      <c r="G532" s="87" t="s">
        <v>76</v>
      </c>
      <c r="H532" s="86"/>
    </row>
    <row r="533" ht="15.75" customHeight="1">
      <c r="A533" s="35">
        <v>46128.0</v>
      </c>
      <c r="B533" s="23" t="s">
        <v>1</v>
      </c>
      <c r="C533" s="24">
        <v>2954.0</v>
      </c>
      <c r="D533" s="23" t="s">
        <v>21</v>
      </c>
      <c r="E533" s="23" t="s">
        <v>32</v>
      </c>
      <c r="F533" s="23" t="s">
        <v>33</v>
      </c>
      <c r="G533" s="87" t="s">
        <v>112</v>
      </c>
      <c r="H533" s="86"/>
    </row>
    <row r="534" ht="15.75" customHeight="1">
      <c r="A534" s="35">
        <v>46129.0</v>
      </c>
      <c r="B534" s="23" t="s">
        <v>1</v>
      </c>
      <c r="C534" s="24">
        <v>1460.0</v>
      </c>
      <c r="D534" s="23" t="s">
        <v>21</v>
      </c>
      <c r="E534" s="23" t="s">
        <v>32</v>
      </c>
      <c r="F534" s="23" t="s">
        <v>33</v>
      </c>
      <c r="G534" s="87" t="s">
        <v>111</v>
      </c>
      <c r="H534" s="86"/>
    </row>
    <row r="535" ht="15.75" customHeight="1">
      <c r="A535" s="35">
        <v>46129.0</v>
      </c>
      <c r="B535" s="23" t="s">
        <v>1</v>
      </c>
      <c r="C535" s="24">
        <v>488.0</v>
      </c>
      <c r="D535" s="23" t="s">
        <v>21</v>
      </c>
      <c r="E535" s="23" t="s">
        <v>18</v>
      </c>
      <c r="F535" s="23" t="s">
        <v>25</v>
      </c>
      <c r="G535" s="89"/>
      <c r="H535" s="86"/>
    </row>
    <row r="536" ht="15.75" customHeight="1">
      <c r="A536" s="35">
        <v>46130.0</v>
      </c>
      <c r="B536" s="23" t="s">
        <v>1</v>
      </c>
      <c r="C536" s="24">
        <v>1077.0</v>
      </c>
      <c r="D536" s="23" t="s">
        <v>21</v>
      </c>
      <c r="E536" s="23" t="s">
        <v>32</v>
      </c>
      <c r="F536" s="23" t="s">
        <v>33</v>
      </c>
      <c r="G536" s="87" t="s">
        <v>123</v>
      </c>
      <c r="H536" s="86"/>
    </row>
    <row r="537" ht="15.75" customHeight="1">
      <c r="A537" s="35">
        <v>46130.0</v>
      </c>
      <c r="B537" s="23" t="s">
        <v>1</v>
      </c>
      <c r="C537" s="24">
        <v>2220.0</v>
      </c>
      <c r="D537" s="23" t="s">
        <v>21</v>
      </c>
      <c r="E537" s="23" t="s">
        <v>18</v>
      </c>
      <c r="F537" s="23" t="s">
        <v>25</v>
      </c>
      <c r="G537" s="85"/>
      <c r="H537" s="86"/>
    </row>
    <row r="538" ht="15.75" customHeight="1">
      <c r="A538" s="35">
        <v>46131.0</v>
      </c>
      <c r="B538" s="23" t="s">
        <v>1</v>
      </c>
      <c r="C538" s="24">
        <v>653.0</v>
      </c>
      <c r="D538" s="23" t="s">
        <v>21</v>
      </c>
      <c r="E538" s="23" t="s">
        <v>18</v>
      </c>
      <c r="F538" s="23" t="s">
        <v>25</v>
      </c>
      <c r="G538" s="85"/>
      <c r="H538" s="86"/>
    </row>
    <row r="539" ht="15.75" customHeight="1">
      <c r="A539" s="35">
        <v>46132.0</v>
      </c>
      <c r="B539" s="23" t="s">
        <v>1</v>
      </c>
      <c r="C539" s="24">
        <v>3068.0</v>
      </c>
      <c r="D539" s="23" t="s">
        <v>21</v>
      </c>
      <c r="E539" s="23" t="s">
        <v>18</v>
      </c>
      <c r="F539" s="23" t="s">
        <v>25</v>
      </c>
      <c r="G539" s="85"/>
      <c r="H539" s="86"/>
    </row>
    <row r="540" ht="15.75" customHeight="1">
      <c r="A540" s="35">
        <v>46134.0</v>
      </c>
      <c r="B540" s="23" t="s">
        <v>1</v>
      </c>
      <c r="C540" s="24">
        <v>1000.0</v>
      </c>
      <c r="D540" s="23" t="s">
        <v>21</v>
      </c>
      <c r="E540" s="23" t="s">
        <v>18</v>
      </c>
      <c r="F540" s="23" t="s">
        <v>63</v>
      </c>
      <c r="G540" s="87" t="s">
        <v>76</v>
      </c>
      <c r="H540" s="88" t="s">
        <v>124</v>
      </c>
    </row>
    <row r="541" ht="15.75" customHeight="1">
      <c r="A541" s="35">
        <v>46135.0</v>
      </c>
      <c r="B541" s="23" t="s">
        <v>1</v>
      </c>
      <c r="C541" s="24">
        <v>1700.0</v>
      </c>
      <c r="D541" s="23" t="s">
        <v>21</v>
      </c>
      <c r="E541" s="23" t="s">
        <v>18</v>
      </c>
      <c r="F541" s="25"/>
      <c r="G541" s="85"/>
      <c r="H541" s="88" t="s">
        <v>125</v>
      </c>
    </row>
    <row r="542" ht="15.75" customHeight="1">
      <c r="A542" s="35">
        <v>46135.0</v>
      </c>
      <c r="B542" s="23" t="s">
        <v>1</v>
      </c>
      <c r="C542" s="24">
        <v>1758.0</v>
      </c>
      <c r="D542" s="23" t="s">
        <v>21</v>
      </c>
      <c r="E542" s="23" t="s">
        <v>32</v>
      </c>
      <c r="F542" s="23" t="s">
        <v>33</v>
      </c>
      <c r="G542" s="87" t="s">
        <v>123</v>
      </c>
      <c r="H542" s="86"/>
    </row>
    <row r="543" ht="15.75" customHeight="1">
      <c r="A543" s="35">
        <v>46136.0</v>
      </c>
      <c r="B543" s="23" t="s">
        <v>1</v>
      </c>
      <c r="C543" s="24">
        <v>1699.0</v>
      </c>
      <c r="D543" s="23" t="s">
        <v>21</v>
      </c>
      <c r="E543" s="23" t="s">
        <v>32</v>
      </c>
      <c r="F543" s="23" t="s">
        <v>33</v>
      </c>
      <c r="G543" s="87" t="s">
        <v>111</v>
      </c>
      <c r="H543" s="86"/>
    </row>
    <row r="544" ht="15.75" customHeight="1">
      <c r="A544" s="35">
        <v>46137.0</v>
      </c>
      <c r="B544" s="23" t="s">
        <v>1</v>
      </c>
      <c r="C544" s="24">
        <v>2944.0</v>
      </c>
      <c r="D544" s="23" t="s">
        <v>21</v>
      </c>
      <c r="E544" s="23" t="s">
        <v>32</v>
      </c>
      <c r="F544" s="23" t="s">
        <v>33</v>
      </c>
      <c r="G544" s="87" t="s">
        <v>82</v>
      </c>
      <c r="H544" s="86"/>
    </row>
    <row r="545" ht="15.75" customHeight="1">
      <c r="A545" s="35">
        <v>46137.0</v>
      </c>
      <c r="B545" s="23" t="s">
        <v>1</v>
      </c>
      <c r="C545" s="24">
        <v>1187.0</v>
      </c>
      <c r="D545" s="23" t="s">
        <v>21</v>
      </c>
      <c r="E545" s="23" t="s">
        <v>32</v>
      </c>
      <c r="F545" s="23" t="s">
        <v>33</v>
      </c>
      <c r="G545" s="87" t="s">
        <v>123</v>
      </c>
      <c r="H545" s="86"/>
    </row>
    <row r="546" ht="15.75" customHeight="1">
      <c r="A546" s="35">
        <v>46138.0</v>
      </c>
      <c r="B546" s="23" t="s">
        <v>1</v>
      </c>
      <c r="C546" s="24">
        <v>2513.0</v>
      </c>
      <c r="D546" s="23" t="s">
        <v>21</v>
      </c>
      <c r="E546" s="23" t="s">
        <v>32</v>
      </c>
      <c r="F546" s="23" t="s">
        <v>33</v>
      </c>
      <c r="G546" s="87" t="s">
        <v>76</v>
      </c>
      <c r="H546" s="86"/>
    </row>
    <row r="547" ht="15.75" customHeight="1">
      <c r="A547" s="35">
        <v>46137.0</v>
      </c>
      <c r="B547" s="23" t="s">
        <v>1</v>
      </c>
      <c r="C547" s="24">
        <v>1972.0</v>
      </c>
      <c r="D547" s="23" t="s">
        <v>21</v>
      </c>
      <c r="E547" s="23" t="s">
        <v>18</v>
      </c>
      <c r="F547" s="23" t="s">
        <v>25</v>
      </c>
      <c r="G547" s="89"/>
      <c r="H547" s="86"/>
    </row>
    <row r="548" ht="15.75" customHeight="1">
      <c r="A548" s="35">
        <v>46138.0</v>
      </c>
      <c r="B548" s="23" t="s">
        <v>1</v>
      </c>
      <c r="C548" s="24">
        <v>1967.0</v>
      </c>
      <c r="D548" s="23" t="s">
        <v>21</v>
      </c>
      <c r="E548" s="23" t="s">
        <v>18</v>
      </c>
      <c r="F548" s="23" t="s">
        <v>25</v>
      </c>
      <c r="G548" s="85"/>
      <c r="H548" s="86"/>
    </row>
    <row r="549" ht="15.75" customHeight="1">
      <c r="A549" s="35">
        <v>46140.0</v>
      </c>
      <c r="B549" s="23" t="s">
        <v>1</v>
      </c>
      <c r="C549" s="24">
        <v>400.0</v>
      </c>
      <c r="D549" s="23" t="s">
        <v>21</v>
      </c>
      <c r="E549" s="23" t="s">
        <v>18</v>
      </c>
      <c r="F549" s="23" t="s">
        <v>25</v>
      </c>
      <c r="G549" s="85"/>
      <c r="H549" s="86"/>
    </row>
    <row r="550" ht="15.75" customHeight="1">
      <c r="A550" s="35">
        <v>46140.0</v>
      </c>
      <c r="B550" s="23" t="s">
        <v>1</v>
      </c>
      <c r="C550" s="24">
        <v>4680.0</v>
      </c>
      <c r="D550" s="23" t="s">
        <v>21</v>
      </c>
      <c r="E550" s="23" t="s">
        <v>18</v>
      </c>
      <c r="F550" s="37"/>
      <c r="G550" s="85"/>
      <c r="H550" s="88" t="s">
        <v>126</v>
      </c>
    </row>
    <row r="551" ht="15.75" customHeight="1">
      <c r="A551" s="35">
        <v>46141.0</v>
      </c>
      <c r="B551" s="23" t="s">
        <v>1</v>
      </c>
      <c r="C551" s="24">
        <v>900.0</v>
      </c>
      <c r="D551" s="23" t="s">
        <v>21</v>
      </c>
      <c r="E551" s="23" t="s">
        <v>18</v>
      </c>
      <c r="F551" s="23" t="s">
        <v>25</v>
      </c>
      <c r="G551" s="85"/>
      <c r="H551" s="88"/>
    </row>
    <row r="552" ht="15.75" customHeight="1">
      <c r="A552" s="35">
        <v>46141.0</v>
      </c>
      <c r="B552" s="23" t="s">
        <v>1</v>
      </c>
      <c r="C552" s="24">
        <v>1566.0</v>
      </c>
      <c r="D552" s="23" t="s">
        <v>21</v>
      </c>
      <c r="E552" s="23" t="s">
        <v>32</v>
      </c>
      <c r="F552" s="23" t="s">
        <v>33</v>
      </c>
      <c r="G552" s="87" t="s">
        <v>123</v>
      </c>
      <c r="H552" s="88"/>
    </row>
    <row r="553" ht="15.75" customHeight="1">
      <c r="A553" s="35">
        <v>46142.0</v>
      </c>
      <c r="B553" s="23" t="s">
        <v>1</v>
      </c>
      <c r="C553" s="24">
        <v>118.0</v>
      </c>
      <c r="D553" s="23" t="s">
        <v>21</v>
      </c>
      <c r="E553" s="23" t="s">
        <v>18</v>
      </c>
      <c r="F553" s="25"/>
      <c r="G553" s="85"/>
      <c r="H553" s="88" t="s">
        <v>127</v>
      </c>
    </row>
    <row r="554" ht="15.75" customHeight="1">
      <c r="A554" s="35">
        <v>46142.0</v>
      </c>
      <c r="B554" s="23" t="s">
        <v>1</v>
      </c>
      <c r="C554" s="24">
        <v>1430.0</v>
      </c>
      <c r="D554" s="23" t="s">
        <v>21</v>
      </c>
      <c r="E554" s="23" t="s">
        <v>18</v>
      </c>
      <c r="F554" s="23" t="s">
        <v>0</v>
      </c>
      <c r="G554" s="85"/>
      <c r="H554" s="86"/>
    </row>
    <row r="555" ht="15.75" customHeight="1">
      <c r="A555" s="35">
        <v>46142.0</v>
      </c>
      <c r="B555" s="23" t="s">
        <v>1</v>
      </c>
      <c r="C555" s="24">
        <v>1610.0</v>
      </c>
      <c r="D555" s="23" t="s">
        <v>21</v>
      </c>
      <c r="E555" s="23" t="s">
        <v>32</v>
      </c>
      <c r="F555" s="23" t="s">
        <v>33</v>
      </c>
      <c r="G555" s="87" t="s">
        <v>111</v>
      </c>
      <c r="H555" s="86"/>
    </row>
    <row r="556" ht="15.75" customHeight="1">
      <c r="A556" s="35">
        <v>46142.0</v>
      </c>
      <c r="B556" s="23" t="s">
        <v>1</v>
      </c>
      <c r="C556" s="24">
        <v>2564.0</v>
      </c>
      <c r="D556" s="23" t="s">
        <v>21</v>
      </c>
      <c r="E556" s="23" t="s">
        <v>32</v>
      </c>
      <c r="F556" s="23" t="s">
        <v>33</v>
      </c>
      <c r="G556" s="87" t="s">
        <v>112</v>
      </c>
      <c r="H556" s="86"/>
    </row>
    <row r="557" ht="15.75" customHeight="1">
      <c r="A557" s="35">
        <v>46142.0</v>
      </c>
      <c r="B557" s="23" t="s">
        <v>1</v>
      </c>
      <c r="C557" s="24">
        <v>1276.0</v>
      </c>
      <c r="D557" s="23" t="s">
        <v>21</v>
      </c>
      <c r="E557" s="23" t="s">
        <v>32</v>
      </c>
      <c r="F557" s="23" t="s">
        <v>33</v>
      </c>
      <c r="G557" s="87" t="s">
        <v>82</v>
      </c>
      <c r="H557" s="86"/>
    </row>
    <row r="558" ht="15.75" customHeight="1">
      <c r="A558" s="35">
        <v>46142.0</v>
      </c>
      <c r="B558" s="23" t="s">
        <v>1</v>
      </c>
      <c r="C558" s="24">
        <v>2335.0</v>
      </c>
      <c r="D558" s="23" t="s">
        <v>21</v>
      </c>
      <c r="E558" s="23" t="s">
        <v>32</v>
      </c>
      <c r="F558" s="23" t="s">
        <v>33</v>
      </c>
      <c r="G558" s="87" t="s">
        <v>106</v>
      </c>
      <c r="H558" s="86"/>
    </row>
    <row r="559" ht="15.75" customHeight="1">
      <c r="A559" s="35">
        <v>46142.0</v>
      </c>
      <c r="B559" s="23" t="s">
        <v>1</v>
      </c>
      <c r="C559" s="24">
        <v>874.0</v>
      </c>
      <c r="D559" s="23" t="s">
        <v>21</v>
      </c>
      <c r="E559" s="23" t="s">
        <v>32</v>
      </c>
      <c r="F559" s="23" t="s">
        <v>33</v>
      </c>
      <c r="G559" s="87" t="s">
        <v>76</v>
      </c>
      <c r="H559" s="86"/>
    </row>
    <row r="560" ht="15.75" customHeight="1">
      <c r="A560" s="35">
        <v>46142.0</v>
      </c>
      <c r="B560" s="23" t="s">
        <v>1</v>
      </c>
      <c r="C560" s="24">
        <v>544.0</v>
      </c>
      <c r="D560" s="23" t="s">
        <v>21</v>
      </c>
      <c r="E560" s="23" t="s">
        <v>32</v>
      </c>
      <c r="F560" s="23" t="s">
        <v>33</v>
      </c>
      <c r="G560" s="87" t="s">
        <v>123</v>
      </c>
      <c r="H560" s="86"/>
    </row>
    <row r="561" ht="15.75" customHeight="1">
      <c r="A561" s="35">
        <v>46143.0</v>
      </c>
      <c r="B561" s="23" t="s">
        <v>1</v>
      </c>
      <c r="C561" s="24">
        <v>1488.0</v>
      </c>
      <c r="D561" s="23" t="s">
        <v>21</v>
      </c>
      <c r="E561" s="23" t="s">
        <v>18</v>
      </c>
      <c r="F561" s="23" t="s">
        <v>25</v>
      </c>
      <c r="G561" s="85"/>
      <c r="H561" s="86"/>
    </row>
    <row r="562" ht="15.75" customHeight="1">
      <c r="A562" s="35">
        <v>46144.0</v>
      </c>
      <c r="B562" s="23" t="s">
        <v>1</v>
      </c>
      <c r="C562" s="24">
        <v>1201.0</v>
      </c>
      <c r="D562" s="23" t="s">
        <v>21</v>
      </c>
      <c r="E562" s="23" t="s">
        <v>18</v>
      </c>
      <c r="F562" s="23" t="s">
        <v>25</v>
      </c>
      <c r="G562" s="85"/>
      <c r="H562" s="86"/>
    </row>
    <row r="563" ht="15.75" customHeight="1">
      <c r="A563" s="35">
        <v>46145.0</v>
      </c>
      <c r="B563" s="23" t="s">
        <v>1</v>
      </c>
      <c r="C563" s="24">
        <v>827.0</v>
      </c>
      <c r="D563" s="23" t="s">
        <v>21</v>
      </c>
      <c r="E563" s="23" t="s">
        <v>18</v>
      </c>
      <c r="F563" s="23" t="s">
        <v>25</v>
      </c>
      <c r="G563" s="85"/>
      <c r="H563" s="86"/>
    </row>
    <row r="564" ht="15.75" customHeight="1">
      <c r="A564" s="35">
        <v>46147.0</v>
      </c>
      <c r="B564" s="23" t="s">
        <v>1</v>
      </c>
      <c r="C564" s="24"/>
      <c r="D564" s="23" t="s">
        <v>21</v>
      </c>
      <c r="E564" s="37"/>
      <c r="F564" s="25"/>
      <c r="G564" s="85"/>
      <c r="H564" s="86"/>
    </row>
    <row r="565" ht="15.75" customHeight="1">
      <c r="A565" s="35">
        <v>46156.0</v>
      </c>
      <c r="B565" s="23" t="s">
        <v>1</v>
      </c>
      <c r="C565" s="24"/>
      <c r="D565" s="23" t="s">
        <v>21</v>
      </c>
      <c r="E565" s="37"/>
      <c r="F565" s="25"/>
      <c r="G565" s="85"/>
      <c r="H565" s="86"/>
    </row>
    <row r="566" ht="15.75" customHeight="1">
      <c r="A566" s="35">
        <v>46157.0</v>
      </c>
      <c r="B566" s="23" t="s">
        <v>1</v>
      </c>
      <c r="C566" s="24"/>
      <c r="D566" s="23" t="s">
        <v>21</v>
      </c>
      <c r="E566" s="37"/>
      <c r="F566" s="25"/>
      <c r="G566" s="85"/>
      <c r="H566" s="86"/>
    </row>
    <row r="567" ht="15.75" customHeight="1">
      <c r="A567" s="90"/>
      <c r="B567" s="91"/>
      <c r="C567" s="92"/>
      <c r="D567" s="91"/>
      <c r="E567" s="91"/>
      <c r="F567" s="93"/>
      <c r="G567" s="93"/>
      <c r="H567" s="94"/>
    </row>
    <row r="568" ht="15.75" customHeight="1">
      <c r="A568" s="90"/>
      <c r="B568" s="91"/>
      <c r="C568" s="92"/>
      <c r="D568" s="91"/>
      <c r="E568" s="91"/>
      <c r="F568" s="93"/>
      <c r="G568" s="93"/>
      <c r="H568" s="94"/>
    </row>
    <row r="569" ht="15.75" customHeight="1">
      <c r="A569" s="90"/>
      <c r="B569" s="91"/>
      <c r="C569" s="92"/>
      <c r="D569" s="91"/>
      <c r="E569" s="91"/>
      <c r="F569" s="93"/>
      <c r="G569" s="93"/>
      <c r="H569" s="94"/>
    </row>
    <row r="570" ht="15.75" customHeight="1">
      <c r="A570" s="90"/>
      <c r="B570" s="91"/>
      <c r="C570" s="92"/>
      <c r="D570" s="91"/>
      <c r="E570" s="91"/>
      <c r="F570" s="93"/>
      <c r="G570" s="93"/>
      <c r="H570" s="94"/>
    </row>
    <row r="571" ht="15.75" customHeight="1">
      <c r="A571" s="90"/>
      <c r="B571" s="91"/>
      <c r="C571" s="92"/>
      <c r="D571" s="91"/>
      <c r="E571" s="91"/>
      <c r="F571" s="93"/>
      <c r="G571" s="93"/>
      <c r="H571" s="94"/>
    </row>
    <row r="572" ht="15.75" customHeight="1">
      <c r="A572" s="90"/>
      <c r="B572" s="91"/>
      <c r="C572" s="92"/>
      <c r="D572" s="91"/>
      <c r="E572" s="91"/>
      <c r="F572" s="93"/>
      <c r="G572" s="93"/>
      <c r="H572" s="94"/>
    </row>
    <row r="573" ht="15.75" customHeight="1">
      <c r="A573" s="90"/>
      <c r="B573" s="91"/>
      <c r="C573" s="92"/>
      <c r="D573" s="91"/>
      <c r="E573" s="91"/>
      <c r="F573" s="93"/>
      <c r="G573" s="93"/>
      <c r="H573" s="94"/>
    </row>
    <row r="574" ht="15.75" customHeight="1">
      <c r="A574" s="90"/>
      <c r="B574" s="91"/>
      <c r="C574" s="92"/>
      <c r="D574" s="91"/>
      <c r="E574" s="91"/>
      <c r="F574" s="93"/>
      <c r="G574" s="93"/>
      <c r="H574" s="94"/>
    </row>
    <row r="575" ht="15.75" customHeight="1">
      <c r="A575" s="90"/>
      <c r="B575" s="91"/>
      <c r="C575" s="92"/>
      <c r="D575" s="91"/>
      <c r="E575" s="91"/>
      <c r="F575" s="93"/>
      <c r="G575" s="93"/>
      <c r="H575" s="94"/>
    </row>
    <row r="576" ht="15.75" customHeight="1">
      <c r="A576" s="90"/>
      <c r="B576" s="91"/>
      <c r="C576" s="92"/>
      <c r="D576" s="91"/>
      <c r="E576" s="91"/>
      <c r="F576" s="93"/>
      <c r="G576" s="93"/>
      <c r="H576" s="94"/>
    </row>
    <row r="577" ht="15.75" customHeight="1">
      <c r="A577" s="90"/>
      <c r="B577" s="91"/>
      <c r="C577" s="92"/>
      <c r="D577" s="91"/>
      <c r="E577" s="91"/>
      <c r="F577" s="93"/>
      <c r="G577" s="93"/>
      <c r="H577" s="94"/>
    </row>
    <row r="578" ht="15.75" customHeight="1">
      <c r="A578" s="90"/>
      <c r="B578" s="91"/>
      <c r="C578" s="92"/>
      <c r="D578" s="91"/>
      <c r="E578" s="91"/>
      <c r="F578" s="93"/>
      <c r="G578" s="93"/>
      <c r="H578" s="94"/>
    </row>
    <row r="579" ht="15.75" customHeight="1">
      <c r="A579" s="90"/>
      <c r="B579" s="91"/>
      <c r="C579" s="92"/>
      <c r="D579" s="91"/>
      <c r="E579" s="91"/>
      <c r="F579" s="93"/>
      <c r="G579" s="93"/>
      <c r="H579" s="94"/>
    </row>
    <row r="580" ht="15.75" customHeight="1">
      <c r="A580" s="90"/>
      <c r="B580" s="91"/>
      <c r="C580" s="92"/>
      <c r="D580" s="91"/>
      <c r="E580" s="91"/>
      <c r="F580" s="93"/>
      <c r="G580" s="93"/>
      <c r="H580" s="94"/>
    </row>
    <row r="581" ht="15.75" customHeight="1">
      <c r="A581" s="90"/>
      <c r="B581" s="91"/>
      <c r="C581" s="92"/>
      <c r="D581" s="91"/>
      <c r="E581" s="91"/>
      <c r="F581" s="93"/>
      <c r="G581" s="93"/>
      <c r="H581" s="94"/>
    </row>
    <row r="582" ht="15.75" customHeight="1">
      <c r="A582" s="90"/>
      <c r="B582" s="91"/>
      <c r="C582" s="92"/>
      <c r="D582" s="91"/>
      <c r="E582" s="91"/>
      <c r="F582" s="93"/>
      <c r="G582" s="93"/>
      <c r="H582" s="94"/>
    </row>
    <row r="583" ht="15.75" customHeight="1">
      <c r="A583" s="90"/>
      <c r="B583" s="91"/>
      <c r="C583" s="92"/>
      <c r="D583" s="91"/>
      <c r="E583" s="91"/>
      <c r="F583" s="93"/>
      <c r="G583" s="93"/>
      <c r="H583" s="94"/>
    </row>
    <row r="584" ht="15.75" customHeight="1">
      <c r="A584" s="90"/>
      <c r="B584" s="91"/>
      <c r="C584" s="92"/>
      <c r="D584" s="91"/>
      <c r="E584" s="91"/>
      <c r="F584" s="93"/>
      <c r="G584" s="93"/>
      <c r="H584" s="94"/>
    </row>
    <row r="585" ht="15.75" customHeight="1">
      <c r="A585" s="90"/>
      <c r="B585" s="91"/>
      <c r="C585" s="92"/>
      <c r="D585" s="91"/>
      <c r="E585" s="91"/>
      <c r="F585" s="93"/>
      <c r="G585" s="93"/>
      <c r="H585" s="94"/>
    </row>
    <row r="586" ht="15.75" customHeight="1">
      <c r="A586" s="90"/>
      <c r="B586" s="91"/>
      <c r="C586" s="92"/>
      <c r="D586" s="91"/>
      <c r="E586" s="91"/>
      <c r="F586" s="93"/>
      <c r="G586" s="93"/>
      <c r="H586" s="94"/>
    </row>
    <row r="587" ht="15.75" customHeight="1">
      <c r="A587" s="90"/>
      <c r="B587" s="91"/>
      <c r="C587" s="92"/>
      <c r="D587" s="91"/>
      <c r="E587" s="91"/>
      <c r="F587" s="93"/>
      <c r="G587" s="93"/>
      <c r="H587" s="94"/>
    </row>
    <row r="588" ht="15.75" customHeight="1">
      <c r="A588" s="90"/>
      <c r="B588" s="91"/>
      <c r="C588" s="92"/>
      <c r="D588" s="91"/>
      <c r="E588" s="91"/>
      <c r="F588" s="93"/>
      <c r="G588" s="93"/>
      <c r="H588" s="94"/>
    </row>
    <row r="589" ht="15.75" customHeight="1">
      <c r="A589" s="90"/>
      <c r="B589" s="91"/>
      <c r="C589" s="92"/>
      <c r="D589" s="91"/>
      <c r="E589" s="91"/>
      <c r="F589" s="93"/>
      <c r="G589" s="93"/>
      <c r="H589" s="94"/>
    </row>
    <row r="590" ht="15.75" customHeight="1">
      <c r="A590" s="90"/>
      <c r="B590" s="91"/>
      <c r="C590" s="92"/>
      <c r="D590" s="91"/>
      <c r="E590" s="91"/>
      <c r="F590" s="93"/>
      <c r="G590" s="93"/>
      <c r="H590" s="94"/>
    </row>
    <row r="591" ht="15.75" customHeight="1">
      <c r="A591" s="90"/>
      <c r="B591" s="91"/>
      <c r="C591" s="92"/>
      <c r="D591" s="91"/>
      <c r="E591" s="91"/>
      <c r="F591" s="93"/>
      <c r="G591" s="93"/>
      <c r="H591" s="94"/>
    </row>
    <row r="592" ht="15.75" customHeight="1">
      <c r="A592" s="90"/>
      <c r="B592" s="91"/>
      <c r="C592" s="92"/>
      <c r="D592" s="91"/>
      <c r="E592" s="91"/>
      <c r="F592" s="93"/>
      <c r="G592" s="93"/>
      <c r="H592" s="94"/>
    </row>
    <row r="593" ht="15.75" customHeight="1">
      <c r="A593" s="90"/>
      <c r="B593" s="91"/>
      <c r="C593" s="92"/>
      <c r="D593" s="91"/>
      <c r="E593" s="91"/>
      <c r="F593" s="93"/>
      <c r="G593" s="93"/>
      <c r="H593" s="94"/>
    </row>
    <row r="594" ht="15.75" customHeight="1">
      <c r="A594" s="90"/>
      <c r="B594" s="91"/>
      <c r="C594" s="92"/>
      <c r="D594" s="91"/>
      <c r="E594" s="91"/>
      <c r="F594" s="93"/>
      <c r="G594" s="93"/>
      <c r="H594" s="94"/>
    </row>
    <row r="595" ht="15.75" customHeight="1">
      <c r="A595" s="90"/>
      <c r="B595" s="91"/>
      <c r="C595" s="92"/>
      <c r="D595" s="91"/>
      <c r="E595" s="91"/>
      <c r="F595" s="93"/>
      <c r="G595" s="93"/>
      <c r="H595" s="94"/>
    </row>
    <row r="596" ht="15.75" customHeight="1">
      <c r="A596" s="90"/>
      <c r="B596" s="91"/>
      <c r="C596" s="92"/>
      <c r="D596" s="91"/>
      <c r="E596" s="91"/>
      <c r="F596" s="93"/>
      <c r="G596" s="93"/>
      <c r="H596" s="94"/>
    </row>
    <row r="597" ht="15.75" customHeight="1">
      <c r="A597" s="90"/>
      <c r="B597" s="91"/>
      <c r="C597" s="92"/>
      <c r="D597" s="91"/>
      <c r="E597" s="91"/>
      <c r="F597" s="93"/>
      <c r="G597" s="93"/>
      <c r="H597" s="94"/>
    </row>
    <row r="598" ht="15.75" customHeight="1">
      <c r="A598" s="90"/>
      <c r="B598" s="91"/>
      <c r="C598" s="92"/>
      <c r="D598" s="91"/>
      <c r="E598" s="91"/>
      <c r="F598" s="93"/>
      <c r="G598" s="93"/>
      <c r="H598" s="94"/>
    </row>
    <row r="599" ht="15.75" customHeight="1">
      <c r="A599" s="90"/>
      <c r="B599" s="91"/>
      <c r="C599" s="92"/>
      <c r="D599" s="91"/>
      <c r="E599" s="91"/>
      <c r="F599" s="93"/>
      <c r="G599" s="93"/>
      <c r="H599" s="94"/>
    </row>
    <row r="600" ht="15.75" customHeight="1">
      <c r="A600" s="90"/>
      <c r="B600" s="91"/>
      <c r="C600" s="92"/>
      <c r="D600" s="91"/>
      <c r="E600" s="91"/>
      <c r="F600" s="93"/>
      <c r="G600" s="93"/>
      <c r="H600" s="94"/>
    </row>
    <row r="601" ht="15.75" customHeight="1">
      <c r="A601" s="90"/>
      <c r="B601" s="91"/>
      <c r="C601" s="92"/>
      <c r="D601" s="91"/>
      <c r="E601" s="91"/>
      <c r="F601" s="93"/>
      <c r="G601" s="93"/>
      <c r="H601" s="94"/>
    </row>
    <row r="602" ht="15.75" customHeight="1">
      <c r="A602" s="90"/>
      <c r="B602" s="91"/>
      <c r="C602" s="92"/>
      <c r="D602" s="91"/>
      <c r="E602" s="91"/>
      <c r="F602" s="93"/>
      <c r="G602" s="93"/>
      <c r="H602" s="94"/>
    </row>
    <row r="603" ht="15.75" customHeight="1">
      <c r="A603" s="90"/>
      <c r="B603" s="91"/>
      <c r="C603" s="92"/>
      <c r="D603" s="91"/>
      <c r="E603" s="91"/>
      <c r="F603" s="93"/>
      <c r="G603" s="93"/>
      <c r="H603" s="94"/>
    </row>
    <row r="604" ht="15.75" customHeight="1">
      <c r="A604" s="90"/>
      <c r="B604" s="91"/>
      <c r="C604" s="92"/>
      <c r="D604" s="91"/>
      <c r="E604" s="91"/>
      <c r="F604" s="93"/>
      <c r="G604" s="93"/>
      <c r="H604" s="94"/>
    </row>
    <row r="605" ht="15.75" customHeight="1">
      <c r="A605" s="90"/>
      <c r="B605" s="91"/>
      <c r="C605" s="92"/>
      <c r="D605" s="91"/>
      <c r="E605" s="91"/>
      <c r="F605" s="93"/>
      <c r="G605" s="93"/>
      <c r="H605" s="94"/>
    </row>
    <row r="606" ht="15.75" customHeight="1">
      <c r="A606" s="90"/>
      <c r="B606" s="91"/>
      <c r="C606" s="92"/>
      <c r="D606" s="91"/>
      <c r="E606" s="91"/>
      <c r="F606" s="93"/>
      <c r="G606" s="93"/>
      <c r="H606" s="94"/>
    </row>
    <row r="607" ht="15.75" customHeight="1">
      <c r="A607" s="90"/>
      <c r="B607" s="91"/>
      <c r="C607" s="92"/>
      <c r="D607" s="91"/>
      <c r="E607" s="91"/>
      <c r="F607" s="93"/>
      <c r="G607" s="93"/>
      <c r="H607" s="94"/>
    </row>
    <row r="608" ht="15.75" customHeight="1">
      <c r="A608" s="90"/>
      <c r="B608" s="91"/>
      <c r="C608" s="92"/>
      <c r="D608" s="91"/>
      <c r="E608" s="91"/>
      <c r="F608" s="93"/>
      <c r="G608" s="93"/>
      <c r="H608" s="94"/>
    </row>
    <row r="609" ht="15.75" customHeight="1">
      <c r="A609" s="90"/>
      <c r="B609" s="91"/>
      <c r="C609" s="92"/>
      <c r="D609" s="91"/>
      <c r="E609" s="91"/>
      <c r="F609" s="93"/>
      <c r="G609" s="93"/>
      <c r="H609" s="94"/>
    </row>
    <row r="610" ht="15.75" customHeight="1">
      <c r="A610" s="90"/>
      <c r="B610" s="91"/>
      <c r="C610" s="92"/>
      <c r="D610" s="91"/>
      <c r="E610" s="91"/>
      <c r="F610" s="93"/>
      <c r="G610" s="93"/>
      <c r="H610" s="94"/>
    </row>
    <row r="611" ht="15.75" customHeight="1">
      <c r="A611" s="90"/>
      <c r="B611" s="91"/>
      <c r="C611" s="92"/>
      <c r="D611" s="91"/>
      <c r="E611" s="91"/>
      <c r="F611" s="93"/>
      <c r="G611" s="93"/>
      <c r="H611" s="94"/>
    </row>
    <row r="612" ht="15.75" customHeight="1">
      <c r="A612" s="90"/>
      <c r="B612" s="91"/>
      <c r="C612" s="92"/>
      <c r="D612" s="91"/>
      <c r="E612" s="91"/>
      <c r="F612" s="93"/>
      <c r="G612" s="93"/>
      <c r="H612" s="94"/>
    </row>
    <row r="613" ht="15.75" customHeight="1">
      <c r="A613" s="90"/>
      <c r="B613" s="91"/>
      <c r="C613" s="92"/>
      <c r="D613" s="91"/>
      <c r="E613" s="91"/>
      <c r="F613" s="93"/>
      <c r="G613" s="93"/>
      <c r="H613" s="94"/>
    </row>
    <row r="614" ht="15.75" customHeight="1">
      <c r="A614" s="90"/>
      <c r="B614" s="91"/>
      <c r="C614" s="92"/>
      <c r="D614" s="91"/>
      <c r="E614" s="91"/>
      <c r="F614" s="93"/>
      <c r="G614" s="93"/>
      <c r="H614" s="94"/>
    </row>
    <row r="615" ht="15.75" customHeight="1">
      <c r="A615" s="90"/>
      <c r="B615" s="91"/>
      <c r="C615" s="92"/>
      <c r="D615" s="91"/>
      <c r="E615" s="91"/>
      <c r="F615" s="93"/>
      <c r="G615" s="93"/>
      <c r="H615" s="94"/>
    </row>
    <row r="616" ht="15.75" customHeight="1">
      <c r="A616" s="90"/>
      <c r="B616" s="91"/>
      <c r="C616" s="92"/>
      <c r="D616" s="91"/>
      <c r="E616" s="91"/>
      <c r="F616" s="93"/>
      <c r="G616" s="93"/>
      <c r="H616" s="94"/>
    </row>
    <row r="617" ht="15.75" customHeight="1">
      <c r="A617" s="90"/>
      <c r="B617" s="91"/>
      <c r="C617" s="92"/>
      <c r="D617" s="91"/>
      <c r="E617" s="91"/>
      <c r="F617" s="93"/>
      <c r="G617" s="93"/>
      <c r="H617" s="94"/>
    </row>
    <row r="618" ht="15.75" customHeight="1">
      <c r="A618" s="90"/>
      <c r="B618" s="91"/>
      <c r="C618" s="92"/>
      <c r="D618" s="91"/>
      <c r="E618" s="91"/>
      <c r="F618" s="93"/>
      <c r="G618" s="93"/>
      <c r="H618" s="94"/>
    </row>
    <row r="619" ht="15.75" customHeight="1">
      <c r="A619" s="90"/>
      <c r="B619" s="91"/>
      <c r="C619" s="92"/>
      <c r="D619" s="91"/>
      <c r="E619" s="91"/>
      <c r="F619" s="93"/>
      <c r="G619" s="93"/>
      <c r="H619" s="94"/>
    </row>
    <row r="620" ht="15.75" customHeight="1">
      <c r="A620" s="90"/>
      <c r="B620" s="91"/>
      <c r="C620" s="92"/>
      <c r="D620" s="91"/>
      <c r="E620" s="91"/>
      <c r="F620" s="93"/>
      <c r="G620" s="93"/>
      <c r="H620" s="94"/>
    </row>
    <row r="621" ht="15.75" customHeight="1">
      <c r="A621" s="90"/>
      <c r="B621" s="91"/>
      <c r="C621" s="92"/>
      <c r="D621" s="91"/>
      <c r="E621" s="91"/>
      <c r="F621" s="93"/>
      <c r="G621" s="93"/>
      <c r="H621" s="94"/>
    </row>
    <row r="622" ht="15.75" customHeight="1">
      <c r="A622" s="90"/>
      <c r="B622" s="91"/>
      <c r="C622" s="92"/>
      <c r="D622" s="91"/>
      <c r="E622" s="91"/>
      <c r="F622" s="93"/>
      <c r="G622" s="93"/>
      <c r="H622" s="94"/>
    </row>
    <row r="623" ht="15.75" customHeight="1">
      <c r="A623" s="90"/>
      <c r="B623" s="91"/>
      <c r="C623" s="92"/>
      <c r="D623" s="91"/>
      <c r="E623" s="91"/>
      <c r="F623" s="93"/>
      <c r="G623" s="93"/>
      <c r="H623" s="94"/>
    </row>
    <row r="624" ht="15.75" customHeight="1">
      <c r="A624" s="90"/>
      <c r="B624" s="91"/>
      <c r="C624" s="92"/>
      <c r="D624" s="91"/>
      <c r="E624" s="91"/>
      <c r="F624" s="93"/>
      <c r="G624" s="93"/>
      <c r="H624" s="94"/>
    </row>
    <row r="625" ht="15.75" customHeight="1">
      <c r="A625" s="90"/>
      <c r="B625" s="91"/>
      <c r="C625" s="92"/>
      <c r="D625" s="91"/>
      <c r="E625" s="91"/>
      <c r="F625" s="93"/>
      <c r="G625" s="93"/>
      <c r="H625" s="94"/>
    </row>
    <row r="626" ht="15.75" customHeight="1">
      <c r="A626" s="90"/>
      <c r="B626" s="91"/>
      <c r="C626" s="92"/>
      <c r="D626" s="91"/>
      <c r="E626" s="91"/>
      <c r="F626" s="93"/>
      <c r="G626" s="93"/>
      <c r="H626" s="94"/>
    </row>
    <row r="627" ht="15.75" customHeight="1">
      <c r="A627" s="90"/>
      <c r="B627" s="91"/>
      <c r="C627" s="92"/>
      <c r="D627" s="91"/>
      <c r="E627" s="91"/>
      <c r="F627" s="93"/>
      <c r="G627" s="93"/>
      <c r="H627" s="94"/>
    </row>
    <row r="628" ht="15.75" customHeight="1">
      <c r="A628" s="90"/>
      <c r="B628" s="91"/>
      <c r="C628" s="92"/>
      <c r="D628" s="91"/>
      <c r="E628" s="91"/>
      <c r="F628" s="93"/>
      <c r="G628" s="93"/>
      <c r="H628" s="94"/>
    </row>
    <row r="629" ht="15.75" customHeight="1">
      <c r="A629" s="90"/>
      <c r="B629" s="91"/>
      <c r="C629" s="92"/>
      <c r="D629" s="91"/>
      <c r="E629" s="91"/>
      <c r="F629" s="93"/>
      <c r="G629" s="93"/>
      <c r="H629" s="94"/>
    </row>
    <row r="630" ht="15.75" customHeight="1">
      <c r="A630" s="90"/>
      <c r="B630" s="91"/>
      <c r="C630" s="92"/>
      <c r="D630" s="91"/>
      <c r="E630" s="91"/>
      <c r="F630" s="93"/>
      <c r="G630" s="93"/>
      <c r="H630" s="94"/>
    </row>
    <row r="631" ht="15.75" customHeight="1">
      <c r="A631" s="90"/>
      <c r="B631" s="91"/>
      <c r="C631" s="92"/>
      <c r="D631" s="91"/>
      <c r="E631" s="91"/>
      <c r="F631" s="93"/>
      <c r="G631" s="93"/>
      <c r="H631" s="94"/>
    </row>
    <row r="632" ht="15.75" customHeight="1">
      <c r="A632" s="90"/>
      <c r="B632" s="91"/>
      <c r="C632" s="92"/>
      <c r="D632" s="91"/>
      <c r="E632" s="91"/>
      <c r="F632" s="93"/>
      <c r="G632" s="93"/>
      <c r="H632" s="94"/>
    </row>
    <row r="633" ht="15.75" customHeight="1">
      <c r="A633" s="90"/>
      <c r="B633" s="91"/>
      <c r="C633" s="92"/>
      <c r="D633" s="91"/>
      <c r="E633" s="91"/>
      <c r="F633" s="93"/>
      <c r="G633" s="93"/>
      <c r="H633" s="94"/>
    </row>
    <row r="634" ht="15.75" customHeight="1">
      <c r="A634" s="90"/>
      <c r="B634" s="91"/>
      <c r="C634" s="92"/>
      <c r="D634" s="91"/>
      <c r="E634" s="91"/>
      <c r="F634" s="93"/>
      <c r="G634" s="93"/>
      <c r="H634" s="94"/>
    </row>
    <row r="635" ht="15.75" customHeight="1">
      <c r="A635" s="90"/>
      <c r="B635" s="91"/>
      <c r="C635" s="92"/>
      <c r="D635" s="91"/>
      <c r="E635" s="91"/>
      <c r="F635" s="93"/>
      <c r="G635" s="93"/>
      <c r="H635" s="94"/>
    </row>
    <row r="636" ht="15.75" customHeight="1">
      <c r="A636" s="90"/>
      <c r="B636" s="91"/>
      <c r="C636" s="92"/>
      <c r="D636" s="91"/>
      <c r="E636" s="91"/>
      <c r="F636" s="93"/>
      <c r="G636" s="93"/>
      <c r="H636" s="94"/>
    </row>
    <row r="637" ht="15.75" customHeight="1">
      <c r="A637" s="90"/>
      <c r="B637" s="91"/>
      <c r="C637" s="92"/>
      <c r="D637" s="91"/>
      <c r="E637" s="91"/>
      <c r="F637" s="93"/>
      <c r="G637" s="93"/>
      <c r="H637" s="94"/>
    </row>
    <row r="638" ht="15.75" customHeight="1">
      <c r="A638" s="90"/>
      <c r="B638" s="91"/>
      <c r="C638" s="92"/>
      <c r="D638" s="91"/>
      <c r="E638" s="91"/>
      <c r="F638" s="93"/>
      <c r="G638" s="93"/>
      <c r="H638" s="94"/>
    </row>
    <row r="639" ht="15.75" customHeight="1">
      <c r="A639" s="90"/>
      <c r="B639" s="91"/>
      <c r="C639" s="92"/>
      <c r="D639" s="91"/>
      <c r="E639" s="91"/>
      <c r="F639" s="93"/>
      <c r="G639" s="93"/>
      <c r="H639" s="94"/>
    </row>
    <row r="640" ht="15.75" customHeight="1">
      <c r="A640" s="90"/>
      <c r="B640" s="91"/>
      <c r="C640" s="92"/>
      <c r="D640" s="91"/>
      <c r="E640" s="91"/>
      <c r="F640" s="93"/>
      <c r="G640" s="93"/>
      <c r="H640" s="94"/>
    </row>
    <row r="641" ht="15.75" customHeight="1">
      <c r="A641" s="90"/>
      <c r="B641" s="91"/>
      <c r="C641" s="92"/>
      <c r="D641" s="91"/>
      <c r="E641" s="91"/>
      <c r="F641" s="93"/>
      <c r="G641" s="93"/>
      <c r="H641" s="94"/>
    </row>
    <row r="642" ht="15.75" customHeight="1">
      <c r="A642" s="90"/>
      <c r="B642" s="91"/>
      <c r="C642" s="92"/>
      <c r="D642" s="91"/>
      <c r="E642" s="91"/>
      <c r="F642" s="93"/>
      <c r="G642" s="93"/>
      <c r="H642" s="94"/>
    </row>
    <row r="643" ht="15.75" customHeight="1">
      <c r="A643" s="90"/>
      <c r="B643" s="91"/>
      <c r="C643" s="92"/>
      <c r="D643" s="91"/>
      <c r="E643" s="91"/>
      <c r="F643" s="93"/>
      <c r="G643" s="93"/>
      <c r="H643" s="94"/>
    </row>
    <row r="644" ht="15.75" customHeight="1">
      <c r="A644" s="90"/>
      <c r="B644" s="91"/>
      <c r="C644" s="92"/>
      <c r="D644" s="91"/>
      <c r="E644" s="91"/>
      <c r="F644" s="93"/>
      <c r="G644" s="93"/>
      <c r="H644" s="94"/>
    </row>
    <row r="645" ht="15.75" customHeight="1">
      <c r="A645" s="90"/>
      <c r="B645" s="91"/>
      <c r="C645" s="92"/>
      <c r="D645" s="91"/>
      <c r="E645" s="91"/>
      <c r="F645" s="93"/>
      <c r="G645" s="93"/>
      <c r="H645" s="94"/>
    </row>
    <row r="646" ht="15.75" customHeight="1">
      <c r="A646" s="90"/>
      <c r="B646" s="91"/>
      <c r="C646" s="92"/>
      <c r="D646" s="91"/>
      <c r="E646" s="91"/>
      <c r="F646" s="93"/>
      <c r="G646" s="93"/>
      <c r="H646" s="94"/>
    </row>
    <row r="647" ht="15.75" customHeight="1">
      <c r="A647" s="90"/>
      <c r="B647" s="91"/>
      <c r="C647" s="92"/>
      <c r="D647" s="91"/>
      <c r="E647" s="91"/>
      <c r="F647" s="93"/>
      <c r="G647" s="93"/>
      <c r="H647" s="94"/>
    </row>
    <row r="648" ht="15.75" customHeight="1">
      <c r="A648" s="90"/>
      <c r="B648" s="91"/>
      <c r="C648" s="92"/>
      <c r="D648" s="91"/>
      <c r="E648" s="91"/>
      <c r="F648" s="93"/>
      <c r="G648" s="93"/>
      <c r="H648" s="94"/>
    </row>
    <row r="649" ht="15.75" customHeight="1">
      <c r="A649" s="90"/>
      <c r="B649" s="91"/>
      <c r="C649" s="92"/>
      <c r="D649" s="91"/>
      <c r="E649" s="91"/>
      <c r="F649" s="93"/>
      <c r="G649" s="93"/>
      <c r="H649" s="94"/>
    </row>
    <row r="650" ht="15.75" customHeight="1">
      <c r="A650" s="90"/>
      <c r="B650" s="91"/>
      <c r="C650" s="92"/>
      <c r="D650" s="91"/>
      <c r="E650" s="91"/>
      <c r="F650" s="93"/>
      <c r="G650" s="93"/>
      <c r="H650" s="94"/>
    </row>
    <row r="651" ht="15.75" customHeight="1">
      <c r="A651" s="90"/>
      <c r="B651" s="91"/>
      <c r="C651" s="92"/>
      <c r="D651" s="91"/>
      <c r="E651" s="91"/>
      <c r="F651" s="93"/>
      <c r="G651" s="93"/>
      <c r="H651" s="94"/>
    </row>
    <row r="652" ht="15.75" customHeight="1">
      <c r="A652" s="90"/>
      <c r="B652" s="91"/>
      <c r="C652" s="92"/>
      <c r="D652" s="91"/>
      <c r="E652" s="91"/>
      <c r="F652" s="93"/>
      <c r="G652" s="93"/>
      <c r="H652" s="94"/>
    </row>
    <row r="653" ht="15.75" customHeight="1">
      <c r="A653" s="90"/>
      <c r="B653" s="91"/>
      <c r="C653" s="92"/>
      <c r="D653" s="91"/>
      <c r="E653" s="91"/>
      <c r="F653" s="93"/>
      <c r="G653" s="93"/>
      <c r="H653" s="94"/>
    </row>
    <row r="654" ht="15.75" customHeight="1">
      <c r="A654" s="90"/>
      <c r="B654" s="91"/>
      <c r="C654" s="92"/>
      <c r="D654" s="91"/>
      <c r="E654" s="91"/>
      <c r="F654" s="93"/>
      <c r="G654" s="93"/>
      <c r="H654" s="94"/>
    </row>
    <row r="655" ht="15.75" customHeight="1">
      <c r="A655" s="90"/>
      <c r="B655" s="91"/>
      <c r="C655" s="92"/>
      <c r="D655" s="91"/>
      <c r="E655" s="91"/>
      <c r="F655" s="93"/>
      <c r="G655" s="93"/>
      <c r="H655" s="94"/>
    </row>
    <row r="656" ht="15.75" customHeight="1">
      <c r="A656" s="90"/>
      <c r="B656" s="91"/>
      <c r="C656" s="92"/>
      <c r="D656" s="91"/>
      <c r="E656" s="91"/>
      <c r="F656" s="93"/>
      <c r="G656" s="93"/>
      <c r="H656" s="94"/>
    </row>
    <row r="657" ht="15.75" customHeight="1">
      <c r="A657" s="90"/>
      <c r="B657" s="91"/>
      <c r="C657" s="92"/>
      <c r="D657" s="91"/>
      <c r="E657" s="91"/>
      <c r="F657" s="93"/>
      <c r="G657" s="93"/>
      <c r="H657" s="94"/>
    </row>
    <row r="658" ht="15.75" customHeight="1">
      <c r="A658" s="90"/>
      <c r="B658" s="91"/>
      <c r="C658" s="92"/>
      <c r="D658" s="91"/>
      <c r="E658" s="91"/>
      <c r="F658" s="93"/>
      <c r="G658" s="93"/>
      <c r="H658" s="94"/>
    </row>
    <row r="659" ht="15.75" customHeight="1">
      <c r="A659" s="90"/>
      <c r="B659" s="91"/>
      <c r="C659" s="92"/>
      <c r="D659" s="91"/>
      <c r="E659" s="91"/>
      <c r="F659" s="93"/>
      <c r="G659" s="93"/>
      <c r="H659" s="94"/>
    </row>
    <row r="660" ht="15.75" customHeight="1">
      <c r="A660" s="90"/>
      <c r="B660" s="91"/>
      <c r="C660" s="92"/>
      <c r="D660" s="91"/>
      <c r="E660" s="91"/>
      <c r="F660" s="93"/>
      <c r="G660" s="93"/>
      <c r="H660" s="94"/>
    </row>
    <row r="661" ht="15.75" customHeight="1">
      <c r="A661" s="90"/>
      <c r="B661" s="91"/>
      <c r="C661" s="92"/>
      <c r="D661" s="91"/>
      <c r="E661" s="91"/>
      <c r="F661" s="93"/>
      <c r="G661" s="93"/>
      <c r="H661" s="94"/>
    </row>
    <row r="662" ht="15.75" customHeight="1">
      <c r="A662" s="90"/>
      <c r="B662" s="91"/>
      <c r="C662" s="92"/>
      <c r="D662" s="91"/>
      <c r="E662" s="91"/>
      <c r="F662" s="93"/>
      <c r="G662" s="93"/>
      <c r="H662" s="94"/>
    </row>
    <row r="663" ht="15.75" customHeight="1">
      <c r="A663" s="90"/>
      <c r="B663" s="91"/>
      <c r="C663" s="92"/>
      <c r="D663" s="91"/>
      <c r="E663" s="91"/>
      <c r="F663" s="93"/>
      <c r="G663" s="93"/>
      <c r="H663" s="94"/>
    </row>
    <row r="664" ht="15.75" customHeight="1">
      <c r="A664" s="90"/>
      <c r="B664" s="91"/>
      <c r="C664" s="92"/>
      <c r="D664" s="91"/>
      <c r="E664" s="91"/>
      <c r="F664" s="93"/>
      <c r="G664" s="93"/>
      <c r="H664" s="94"/>
    </row>
    <row r="665" ht="15.75" customHeight="1">
      <c r="A665" s="90"/>
      <c r="B665" s="91"/>
      <c r="C665" s="92"/>
      <c r="D665" s="91"/>
      <c r="E665" s="91"/>
      <c r="F665" s="93"/>
      <c r="G665" s="93"/>
      <c r="H665" s="94"/>
    </row>
    <row r="666" ht="15.75" customHeight="1">
      <c r="A666" s="90"/>
      <c r="B666" s="91"/>
      <c r="C666" s="92"/>
      <c r="D666" s="91"/>
      <c r="E666" s="91"/>
      <c r="F666" s="93"/>
      <c r="G666" s="93"/>
      <c r="H666" s="94"/>
    </row>
  </sheetData>
  <mergeCells count="9">
    <mergeCell ref="D5:E7"/>
    <mergeCell ref="B8:G9"/>
    <mergeCell ref="A1:A7"/>
    <mergeCell ref="B1:C2"/>
    <mergeCell ref="D1:E2"/>
    <mergeCell ref="F1:G7"/>
    <mergeCell ref="B3:C4"/>
    <mergeCell ref="D3:E4"/>
    <mergeCell ref="B5:C7"/>
  </mergeCells>
  <conditionalFormatting sqref="A11:AA11">
    <cfRule type="notContainsBlanks" dxfId="6" priority="1">
      <formula>LEN(TRIM(A11))&gt;0</formula>
    </cfRule>
  </conditionalFormatting>
  <dataValidations>
    <dataValidation type="list" allowBlank="1" sqref="G11:G666">
      <formula1>"HTMall,HTLand,deplomacyMall,AlmouasafatHospital,Istiklal,AlTahaddy,KhalijUniversity,HappyLand,SeaCost2,SeaCost"</formula1>
    </dataValidation>
    <dataValidation type="list" allowBlank="1" sqref="B11:B666">
      <formula1>"Anas,Snacky"</formula1>
    </dataValidation>
    <dataValidation type="custom" allowBlank="1" showDropDown="1" sqref="A11:A666">
      <formula1>OR(NOT(ISERROR(DATEVALUE(A11))), AND(ISNUMBER(A11), LEFT(CELL("format", A11))="D"))</formula1>
    </dataValidation>
    <dataValidation type="list" allowBlank="1" sqref="F11:F666">
      <formula1>"Product Restocking,Revenue,ads,Palastine,Anas,from snacky,to snacky,shipping,Rent,charity,Doaa,Ahmed,storage,maintenance"</formula1>
    </dataValidation>
    <dataValidation type="custom" allowBlank="1" showDropDown="1" sqref="K3:K4 N3:N4 C11:C666">
      <formula1>AND(ISNUMBER(C3),(NOT(OR(NOT(ISERROR(DATEVALUE(C3))), AND(ISNUMBER(C3), LEFT(CELL("format", C3))="D")))))</formula1>
    </dataValidation>
    <dataValidation type="list" allowBlank="1" sqref="E11:E666">
      <formula1>"Money Out,Money In"</formula1>
    </dataValidation>
    <dataValidation type="list" allowBlank="1" sqref="D11:D666">
      <formula1>"$,LYD"</formula1>
    </dataValidation>
  </dataValidations>
  <hyperlinks>
    <hyperlink r:id="rId1" ref="H96"/>
  </hyperlinks>
  <printOptions/>
  <pageMargins bottom="0.75" footer="0.0" header="0.0" left="0.7" right="0.7" top="0.75"/>
  <pageSetup orientation="landscape"/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8.86"/>
    <col customWidth="1" min="3" max="5" width="15.14"/>
  </cols>
  <sheetData>
    <row r="1" ht="22.5" customHeight="1">
      <c r="A1" s="95" t="s">
        <v>9</v>
      </c>
      <c r="B1" s="96" t="s">
        <v>128</v>
      </c>
      <c r="C1" s="96" t="s">
        <v>129</v>
      </c>
      <c r="D1" s="95" t="s">
        <v>130</v>
      </c>
      <c r="E1" s="95" t="s">
        <v>131</v>
      </c>
    </row>
    <row r="2" ht="22.5" customHeight="1">
      <c r="A2" s="97"/>
      <c r="B2" s="98"/>
      <c r="C2" s="99"/>
      <c r="D2" s="99"/>
      <c r="E2" s="100"/>
    </row>
    <row r="3" ht="22.5" customHeight="1">
      <c r="A3" s="101">
        <v>45962.0</v>
      </c>
      <c r="B3" s="102"/>
      <c r="C3" s="103">
        <v>1400.0</v>
      </c>
      <c r="D3" s="104"/>
      <c r="E3" s="105"/>
    </row>
    <row r="4" ht="22.5" customHeight="1">
      <c r="A4" s="101">
        <v>45992.0</v>
      </c>
      <c r="B4" s="102"/>
      <c r="C4" s="103"/>
      <c r="D4" s="104"/>
      <c r="E4" s="105"/>
    </row>
    <row r="5" ht="22.5" customHeight="1">
      <c r="A5" s="101">
        <v>46053.0</v>
      </c>
      <c r="B5" s="102"/>
      <c r="C5" s="103">
        <v>1400.0</v>
      </c>
      <c r="D5" s="104"/>
      <c r="E5" s="105"/>
    </row>
    <row r="6" ht="22.5" customHeight="1">
      <c r="A6" s="101">
        <v>46081.0</v>
      </c>
      <c r="B6" s="102"/>
      <c r="C6" s="103">
        <v>1600.0</v>
      </c>
      <c r="D6" s="104"/>
      <c r="E6" s="105"/>
    </row>
    <row r="7" ht="22.5" customHeight="1">
      <c r="A7" s="101">
        <v>46112.0</v>
      </c>
      <c r="B7" s="102"/>
      <c r="C7" s="103">
        <v>1500.0</v>
      </c>
      <c r="D7" s="104"/>
      <c r="E7" s="105"/>
    </row>
    <row r="8" ht="22.5" customHeight="1">
      <c r="A8" s="101">
        <v>46142.0</v>
      </c>
      <c r="B8" s="102"/>
      <c r="C8" s="103">
        <v>750.0</v>
      </c>
      <c r="D8" s="104"/>
      <c r="E8" s="105"/>
    </row>
    <row r="9" ht="22.5" customHeight="1">
      <c r="A9" s="106"/>
      <c r="B9" s="102"/>
      <c r="C9" s="104"/>
      <c r="D9" s="104"/>
      <c r="E9" s="105"/>
    </row>
    <row r="10" ht="22.5" customHeight="1">
      <c r="A10" s="107"/>
      <c r="B10" s="108"/>
      <c r="C10" s="109"/>
      <c r="D10" s="109"/>
      <c r="E10" s="110"/>
    </row>
  </sheetData>
  <dataValidations>
    <dataValidation type="custom" allowBlank="1" showDropDown="1" sqref="A2:A10">
      <formula1>OR(NOT(ISERROR(DATEVALUE(A2))), AND(ISNUMBER(A2), LEFT(CELL("format", A2))="D"))</formula1>
    </dataValidation>
    <dataValidation type="custom" allowBlank="1" showDropDown="1" sqref="B2:B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132</v>
      </c>
      <c r="C1" s="19" t="s">
        <v>133</v>
      </c>
      <c r="D1" s="19" t="s">
        <v>132</v>
      </c>
    </row>
    <row r="2">
      <c r="A2" s="19" t="s">
        <v>134</v>
      </c>
      <c r="C2" s="19" t="s">
        <v>33</v>
      </c>
      <c r="D2" s="19" t="s">
        <v>135</v>
      </c>
    </row>
    <row r="3">
      <c r="A3" s="19" t="s">
        <v>136</v>
      </c>
      <c r="C3" s="19" t="s">
        <v>38</v>
      </c>
      <c r="D3" s="19" t="s">
        <v>135</v>
      </c>
    </row>
    <row r="4">
      <c r="A4" s="19" t="s">
        <v>137</v>
      </c>
      <c r="C4" s="19" t="s">
        <v>25</v>
      </c>
      <c r="D4" s="19" t="s">
        <v>134</v>
      </c>
    </row>
    <row r="5">
      <c r="A5" s="19" t="s">
        <v>138</v>
      </c>
      <c r="C5" s="19" t="s">
        <v>97</v>
      </c>
      <c r="D5" s="19" t="s">
        <v>136</v>
      </c>
    </row>
    <row r="6">
      <c r="C6" s="19" t="s">
        <v>0</v>
      </c>
      <c r="D6" s="19" t="s">
        <v>139</v>
      </c>
    </row>
    <row r="7">
      <c r="C7" s="19" t="s">
        <v>63</v>
      </c>
      <c r="D7" s="19" t="s">
        <v>137</v>
      </c>
    </row>
    <row r="8">
      <c r="C8" s="19" t="s">
        <v>72</v>
      </c>
      <c r="D8" s="19" t="s">
        <v>136</v>
      </c>
    </row>
    <row r="9">
      <c r="C9" s="19" t="s">
        <v>140</v>
      </c>
      <c r="D9" s="19" t="s">
        <v>136</v>
      </c>
    </row>
    <row r="10">
      <c r="C10" s="19" t="s">
        <v>141</v>
      </c>
      <c r="D10" s="19" t="s">
        <v>137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tr">
        <f>IFERROR(__xludf.DUMMYFUNCTION("FILTER(Transactions!A2:A1000,Transactions!A2:A1000&lt;&gt;"""")"),"Date")</f>
        <v>Date</v>
      </c>
      <c r="B1" s="111" t="str">
        <f>IFERROR(__xludf.DUMMYFUNCTION("FILTER(Transactions!C2:C1000,Transactions!A2:A1000&lt;&gt;"""")"),"Transaction")</f>
        <v>Transaction</v>
      </c>
      <c r="C1" s="19" t="str">
        <f>IFERROR(__xludf.DUMMYFUNCTION("FILTER(Transactions!E2:E1000,Transactions!A2:A1000&lt;&gt;"""")"),"Money Flow")</f>
        <v>Money Flow</v>
      </c>
      <c r="D1" s="19" t="str">
        <f>IFERROR(__xludf.DUMMYFUNCTION("FILTER(Transactions!F2:F1000,Transactions!A2:A1000&lt;&gt;"""")"),"Transaction Type")</f>
        <v>Transaction Type</v>
      </c>
      <c r="E1" s="111" t="str">
        <f>IFERROR(__xludf.DUMMYFUNCTION("FILTER(Transactions!G2:G1000,Transactions!A2:A1000&lt;&gt;"""")"),"Location")</f>
        <v>Location</v>
      </c>
      <c r="F1" s="19" t="str">
        <f>IFERROR(__xludf.DUMMYFUNCTION("FILTER(Transactions!H2:H1000,Transactions!A2:A1000&lt;&gt;"""")"),"Transaction Description")</f>
        <v>Transaction Description</v>
      </c>
      <c r="G1" s="19" t="s">
        <v>142</v>
      </c>
      <c r="H1" s="19" t="s">
        <v>143</v>
      </c>
      <c r="I1" s="19" t="s">
        <v>144</v>
      </c>
      <c r="J1" s="19" t="s">
        <v>145</v>
      </c>
    </row>
    <row r="2">
      <c r="A2" s="112">
        <f>IFERROR(__xludf.DUMMYFUNCTION("""COMPUTED_VALUE"""),45634.0)</f>
        <v>45634</v>
      </c>
      <c r="B2" s="113">
        <f>IFERROR(__xludf.DUMMYFUNCTION("""COMPUTED_VALUE"""),1943.0)</f>
        <v>1943</v>
      </c>
      <c r="C2" s="28" t="str">
        <f>IFERROR(__xludf.DUMMYFUNCTION("""COMPUTED_VALUE"""),"Money In")</f>
        <v>Money In</v>
      </c>
      <c r="D2" s="28" t="str">
        <f>IFERROR(__xludf.DUMMYFUNCTION("""COMPUTED_VALUE"""),"Revenue")</f>
        <v>Revenue</v>
      </c>
      <c r="E2" s="28" t="str">
        <f>IFERROR(__xludf.DUMMYFUNCTION("""COMPUTED_VALUE"""),"deplomacyMall")</f>
        <v>deplomacyMall</v>
      </c>
      <c r="F2" s="28" t="str">
        <f>IFERROR(__xludf.DUMMYFUNCTION("""COMPUTED_VALUE"""),"قيمة اول 5 ايام")</f>
        <v>قيمة اول 5 ايام</v>
      </c>
      <c r="G2" s="28">
        <f t="array" ref="G2:G1000">IF(A2:A1000="","",IF(C2:C1000="Money In",B2:B1000,-B2:B1000))</f>
        <v>1943</v>
      </c>
      <c r="H2" s="28" t="str">
        <f t="array" ref="H2:H1000">IF(A2:A1000="","",IFERROR(VLOOKUP(D2:D1000,Lists!C:D,2,FALSE),"Review"))</f>
        <v>Inflow</v>
      </c>
      <c r="I2" s="28"/>
      <c r="J2" s="28" t="str">
        <f t="array" ref="J2:J1000">IF(A2:A1000="","",IF(I2:I1000&lt;&gt;"",I2:I1000,H2:H1000))</f>
        <v>Inflow</v>
      </c>
    </row>
    <row r="3">
      <c r="A3" s="112">
        <f>IFERROR(__xludf.DUMMYFUNCTION("""COMPUTED_VALUE"""),45641.0)</f>
        <v>45641</v>
      </c>
      <c r="B3" s="113">
        <f>IFERROR(__xludf.DUMMYFUNCTION("""COMPUTED_VALUE"""),779.0)</f>
        <v>779</v>
      </c>
      <c r="C3" s="28" t="str">
        <f>IFERROR(__xludf.DUMMYFUNCTION("""COMPUTED_VALUE"""),"Money In")</f>
        <v>Money In</v>
      </c>
      <c r="D3" s="28" t="str">
        <f>IFERROR(__xludf.DUMMYFUNCTION("""COMPUTED_VALUE"""),"Revenue")</f>
        <v>Revenue</v>
      </c>
      <c r="E3" s="28" t="str">
        <f>IFERROR(__xludf.DUMMYFUNCTION("""COMPUTED_VALUE"""),"deplomacyMall")</f>
        <v>deplomacyMall</v>
      </c>
      <c r="F3" s="28"/>
      <c r="G3" s="28">
        <v>779.0</v>
      </c>
      <c r="H3" s="28" t="s">
        <v>135</v>
      </c>
      <c r="J3" s="28" t="s">
        <v>135</v>
      </c>
    </row>
    <row r="4">
      <c r="A4" s="112">
        <f>IFERROR(__xludf.DUMMYFUNCTION("""COMPUTED_VALUE"""),45644.0)</f>
        <v>45644</v>
      </c>
      <c r="B4" s="113">
        <f>IFERROR(__xludf.DUMMYFUNCTION("""COMPUTED_VALUE"""),20.0)</f>
        <v>20</v>
      </c>
      <c r="C4" s="28" t="str">
        <f>IFERROR(__xludf.DUMMYFUNCTION("""COMPUTED_VALUE"""),"Money Out")</f>
        <v>Money Out</v>
      </c>
      <c r="D4" s="28" t="str">
        <f>IFERROR(__xludf.DUMMYFUNCTION("""COMPUTED_VALUE"""),"Product Restocking")</f>
        <v>Product Restocking</v>
      </c>
      <c r="E4" s="28"/>
      <c r="F4" s="28" t="str">
        <f>IFERROR(__xludf.DUMMYFUNCTION("""COMPUTED_VALUE"""),"بضاعه (مياه)")</f>
        <v>بضاعه (مياه)</v>
      </c>
      <c r="G4" s="28">
        <v>-20.0</v>
      </c>
      <c r="H4" s="28" t="s">
        <v>134</v>
      </c>
      <c r="J4" s="28" t="s">
        <v>134</v>
      </c>
    </row>
    <row r="5">
      <c r="A5" s="112">
        <f>IFERROR(__xludf.DUMMYFUNCTION("""COMPUTED_VALUE"""),45523.0)</f>
        <v>45523</v>
      </c>
      <c r="B5" s="113">
        <f>IFERROR(__xludf.DUMMYFUNCTION("""COMPUTED_VALUE"""),46.0)</f>
        <v>46</v>
      </c>
      <c r="C5" s="28" t="str">
        <f>IFERROR(__xludf.DUMMYFUNCTION("""COMPUTED_VALUE"""),"Money Out")</f>
        <v>Money Out</v>
      </c>
      <c r="D5" s="28"/>
      <c r="E5" s="28"/>
      <c r="F5" s="28" t="str">
        <f>IFERROR(__xludf.DUMMYFUNCTION("""COMPUTED_VALUE"""),"مياه + لصقة دبل فيس")</f>
        <v>مياه + لصقة دبل فيس</v>
      </c>
      <c r="G5" s="28">
        <v>-46.0</v>
      </c>
      <c r="H5" s="28" t="s">
        <v>146</v>
      </c>
      <c r="J5" s="28" t="s">
        <v>146</v>
      </c>
    </row>
    <row r="6">
      <c r="A6" s="112">
        <f>IFERROR(__xludf.DUMMYFUNCTION("""COMPUTED_VALUE"""),45524.0)</f>
        <v>45524</v>
      </c>
      <c r="B6" s="113">
        <f>IFERROR(__xludf.DUMMYFUNCTION("""COMPUTED_VALUE"""),1225.0)</f>
        <v>1225</v>
      </c>
      <c r="C6" s="28" t="str">
        <f>IFERROR(__xludf.DUMMYFUNCTION("""COMPUTED_VALUE"""),"Money In")</f>
        <v>Money In</v>
      </c>
      <c r="D6" s="28" t="str">
        <f>IFERROR(__xludf.DUMMYFUNCTION("""COMPUTED_VALUE"""),"Revenue")</f>
        <v>Revenue</v>
      </c>
      <c r="E6" s="28" t="str">
        <f>IFERROR(__xludf.DUMMYFUNCTION("""COMPUTED_VALUE"""),"deplomacyMall")</f>
        <v>deplomacyMall</v>
      </c>
      <c r="F6" s="28"/>
      <c r="G6" s="28">
        <v>1225.0</v>
      </c>
      <c r="H6" s="28" t="s">
        <v>135</v>
      </c>
      <c r="J6" s="28" t="s">
        <v>135</v>
      </c>
    </row>
    <row r="7">
      <c r="A7" s="112">
        <f>IFERROR(__xludf.DUMMYFUNCTION("""COMPUTED_VALUE"""),45525.0)</f>
        <v>45525</v>
      </c>
      <c r="B7" s="113">
        <f>IFERROR(__xludf.DUMMYFUNCTION("""COMPUTED_VALUE"""),180.0)</f>
        <v>180</v>
      </c>
      <c r="C7" s="28" t="str">
        <f>IFERROR(__xludf.DUMMYFUNCTION("""COMPUTED_VALUE"""),"Money Out")</f>
        <v>Money Out</v>
      </c>
      <c r="D7" s="28"/>
      <c r="E7" s="28"/>
      <c r="F7" s="28" t="str">
        <f>IFERROR(__xludf.DUMMYFUNCTION("""COMPUTED_VALUE"""),"طباعة توربو للايت بوكس")</f>
        <v>طباعة توربو للايت بوكس</v>
      </c>
      <c r="G7" s="28">
        <v>-180.0</v>
      </c>
      <c r="H7" s="28" t="s">
        <v>146</v>
      </c>
      <c r="J7" s="28" t="s">
        <v>146</v>
      </c>
    </row>
    <row r="8">
      <c r="A8" s="112">
        <f>IFERROR(__xludf.DUMMYFUNCTION("""COMPUTED_VALUE"""),45525.0)</f>
        <v>45525</v>
      </c>
      <c r="B8" s="113">
        <f>IFERROR(__xludf.DUMMYFUNCTION("""COMPUTED_VALUE"""),2500.0)</f>
        <v>2500</v>
      </c>
      <c r="C8" s="28" t="str">
        <f>IFERROR(__xludf.DUMMYFUNCTION("""COMPUTED_VALUE"""),"Money In")</f>
        <v>Money In</v>
      </c>
      <c r="D8" s="28" t="str">
        <f>IFERROR(__xludf.DUMMYFUNCTION("""COMPUTED_VALUE"""),"ads")</f>
        <v>ads</v>
      </c>
      <c r="E8" s="28"/>
      <c r="F8" s="28" t="str">
        <f>IFERROR(__xludf.DUMMYFUNCTION("""COMPUTED_VALUE""")," دعاية توربو ( من نص 9 الى نص 12)")</f>
        <v> دعاية توربو ( من نص 9 الى نص 12)</v>
      </c>
      <c r="G8" s="28">
        <v>2500.0</v>
      </c>
      <c r="H8" s="28" t="s">
        <v>135</v>
      </c>
      <c r="J8" s="28" t="s">
        <v>135</v>
      </c>
    </row>
    <row r="9">
      <c r="A9" s="112">
        <f>IFERROR(__xludf.DUMMYFUNCTION("""COMPUTED_VALUE"""),45528.0)</f>
        <v>45528</v>
      </c>
      <c r="B9" s="113">
        <f>IFERROR(__xludf.DUMMYFUNCTION("""COMPUTED_VALUE"""),50.0)</f>
        <v>50</v>
      </c>
      <c r="C9" s="28" t="str">
        <f>IFERROR(__xludf.DUMMYFUNCTION("""COMPUTED_VALUE"""),"Money Out")</f>
        <v>Money Out</v>
      </c>
      <c r="D9" s="28"/>
      <c r="E9" s="28"/>
      <c r="F9" s="28"/>
      <c r="G9" s="28">
        <v>-50.0</v>
      </c>
      <c r="H9" s="28" t="s">
        <v>146</v>
      </c>
      <c r="J9" s="28" t="s">
        <v>146</v>
      </c>
    </row>
    <row r="10">
      <c r="A10" s="112">
        <f>IFERROR(__xludf.DUMMYFUNCTION("""COMPUTED_VALUE"""),45528.0)</f>
        <v>45528</v>
      </c>
      <c r="B10" s="113">
        <f>IFERROR(__xludf.DUMMYFUNCTION("""COMPUTED_VALUE"""),50.0)</f>
        <v>50</v>
      </c>
      <c r="C10" s="28" t="str">
        <f>IFERROR(__xludf.DUMMYFUNCTION("""COMPUTED_VALUE"""),"Money In")</f>
        <v>Money In</v>
      </c>
      <c r="D10" s="28"/>
      <c r="E10" s="28"/>
      <c r="F10" s="28"/>
      <c r="G10" s="28">
        <v>50.0</v>
      </c>
      <c r="H10" s="28" t="s">
        <v>146</v>
      </c>
      <c r="J10" s="28" t="s">
        <v>146</v>
      </c>
    </row>
    <row r="11">
      <c r="A11" s="112">
        <f>IFERROR(__xludf.DUMMYFUNCTION("""COMPUTED_VALUE"""),45528.0)</f>
        <v>45528</v>
      </c>
      <c r="B11" s="113">
        <f>IFERROR(__xludf.DUMMYFUNCTION("""COMPUTED_VALUE"""),40.0)</f>
        <v>40</v>
      </c>
      <c r="C11" s="28" t="str">
        <f>IFERROR(__xludf.DUMMYFUNCTION("""COMPUTED_VALUE"""),"Money Out")</f>
        <v>Money Out</v>
      </c>
      <c r="D11" s="28" t="str">
        <f>IFERROR(__xludf.DUMMYFUNCTION("""COMPUTED_VALUE"""),"Product Restocking")</f>
        <v>Product Restocking</v>
      </c>
      <c r="E11" s="28"/>
      <c r="F11" s="28" t="str">
        <f>IFERROR(__xludf.DUMMYFUNCTION("""COMPUTED_VALUE"""),"بضاعه (مياه)")</f>
        <v>بضاعه (مياه)</v>
      </c>
      <c r="G11" s="28">
        <v>-40.0</v>
      </c>
      <c r="H11" s="28" t="s">
        <v>134</v>
      </c>
      <c r="J11" s="28" t="s">
        <v>134</v>
      </c>
    </row>
    <row r="12">
      <c r="A12" s="112">
        <f>IFERROR(__xludf.DUMMYFUNCTION("""COMPUTED_VALUE"""),45530.0)</f>
        <v>45530</v>
      </c>
      <c r="B12" s="113">
        <f>IFERROR(__xludf.DUMMYFUNCTION("""COMPUTED_VALUE"""),1140.0)</f>
        <v>1140</v>
      </c>
      <c r="C12" s="28" t="str">
        <f>IFERROR(__xludf.DUMMYFUNCTION("""COMPUTED_VALUE"""),"Money Out")</f>
        <v>Money Out</v>
      </c>
      <c r="D12" s="28" t="str">
        <f>IFERROR(__xludf.DUMMYFUNCTION("""COMPUTED_VALUE"""),"Product Restocking")</f>
        <v>Product Restocking</v>
      </c>
      <c r="E12" s="28"/>
      <c r="F12" s="28" t="str">
        <f>IFERROR(__xludf.DUMMYFUNCTION("""COMPUTED_VALUE"""),"بضاعه ")</f>
        <v>بضاعه </v>
      </c>
      <c r="G12" s="28">
        <v>-1140.0</v>
      </c>
      <c r="H12" s="28" t="s">
        <v>134</v>
      </c>
      <c r="J12" s="28" t="s">
        <v>134</v>
      </c>
    </row>
    <row r="13">
      <c r="A13" s="112">
        <f>IFERROR(__xludf.DUMMYFUNCTION("""COMPUTED_VALUE"""),45530.0)</f>
        <v>45530</v>
      </c>
      <c r="B13" s="113">
        <f>IFERROR(__xludf.DUMMYFUNCTION("""COMPUTED_VALUE"""),900.0)</f>
        <v>900</v>
      </c>
      <c r="C13" s="28" t="str">
        <f>IFERROR(__xludf.DUMMYFUNCTION("""COMPUTED_VALUE"""),"Money In")</f>
        <v>Money In</v>
      </c>
      <c r="D13" s="28" t="str">
        <f>IFERROR(__xludf.DUMMYFUNCTION("""COMPUTED_VALUE"""),"Revenue")</f>
        <v>Revenue</v>
      </c>
      <c r="E13" s="28" t="str">
        <f>IFERROR(__xludf.DUMMYFUNCTION("""COMPUTED_VALUE"""),"deplomacyMall")</f>
        <v>deplomacyMall</v>
      </c>
      <c r="F13" s="28"/>
      <c r="G13" s="28">
        <v>900.0</v>
      </c>
      <c r="H13" s="28" t="s">
        <v>135</v>
      </c>
      <c r="J13" s="28" t="s">
        <v>135</v>
      </c>
    </row>
    <row r="14">
      <c r="A14" s="112">
        <f>IFERROR(__xludf.DUMMYFUNCTION("""COMPUTED_VALUE"""),45533.0)</f>
        <v>45533</v>
      </c>
      <c r="B14" s="113">
        <f>IFERROR(__xludf.DUMMYFUNCTION("""COMPUTED_VALUE"""),60.0)</f>
        <v>60</v>
      </c>
      <c r="C14" s="28" t="str">
        <f>IFERROR(__xludf.DUMMYFUNCTION("""COMPUTED_VALUE"""),"Money Out")</f>
        <v>Money Out</v>
      </c>
      <c r="D14" s="28" t="str">
        <f>IFERROR(__xludf.DUMMYFUNCTION("""COMPUTED_VALUE"""),"Product Restocking")</f>
        <v>Product Restocking</v>
      </c>
      <c r="E14" s="28"/>
      <c r="F14" s="28" t="str">
        <f>IFERROR(__xludf.DUMMYFUNCTION("""COMPUTED_VALUE"""),"بضاعه (مياه)")</f>
        <v>بضاعه (مياه)</v>
      </c>
      <c r="G14" s="28">
        <v>-60.0</v>
      </c>
      <c r="H14" s="28" t="s">
        <v>134</v>
      </c>
      <c r="J14" s="28" t="s">
        <v>134</v>
      </c>
    </row>
    <row r="15">
      <c r="A15" s="112">
        <f>IFERROR(__xludf.DUMMYFUNCTION("""COMPUTED_VALUE"""),45535.0)</f>
        <v>45535</v>
      </c>
      <c r="B15" s="113">
        <f>IFERROR(__xludf.DUMMYFUNCTION("""COMPUTED_VALUE"""),18.0)</f>
        <v>18</v>
      </c>
      <c r="C15" s="28" t="str">
        <f>IFERROR(__xludf.DUMMYFUNCTION("""COMPUTED_VALUE"""),"Money Out")</f>
        <v>Money Out</v>
      </c>
      <c r="D15" s="28" t="str">
        <f>IFERROR(__xludf.DUMMYFUNCTION("""COMPUTED_VALUE"""),"Product Restocking")</f>
        <v>Product Restocking</v>
      </c>
      <c r="E15" s="28"/>
      <c r="F15" s="28" t="str">
        <f>IFERROR(__xludf.DUMMYFUNCTION("""COMPUTED_VALUE"""),"بضاعه (مياه)")</f>
        <v>بضاعه (مياه)</v>
      </c>
      <c r="G15" s="28">
        <v>-18.0</v>
      </c>
      <c r="H15" s="28" t="s">
        <v>134</v>
      </c>
      <c r="J15" s="28" t="s">
        <v>134</v>
      </c>
    </row>
    <row r="16">
      <c r="A16" s="112">
        <f>IFERROR(__xludf.DUMMYFUNCTION("""COMPUTED_VALUE"""),45535.0)</f>
        <v>45535</v>
      </c>
      <c r="B16" s="113">
        <f>IFERROR(__xludf.DUMMYFUNCTION("""COMPUTED_VALUE"""),1158.0)</f>
        <v>1158</v>
      </c>
      <c r="C16" s="28" t="str">
        <f>IFERROR(__xludf.DUMMYFUNCTION("""COMPUTED_VALUE"""),"Money In")</f>
        <v>Money In</v>
      </c>
      <c r="D16" s="28" t="str">
        <f>IFERROR(__xludf.DUMMYFUNCTION("""COMPUTED_VALUE"""),"Revenue")</f>
        <v>Revenue</v>
      </c>
      <c r="E16" s="28" t="str">
        <f>IFERROR(__xludf.DUMMYFUNCTION("""COMPUTED_VALUE"""),"deplomacyMall")</f>
        <v>deplomacyMall</v>
      </c>
      <c r="F16" s="28"/>
      <c r="G16" s="28">
        <v>1158.0</v>
      </c>
      <c r="H16" s="28" t="s">
        <v>135</v>
      </c>
      <c r="J16" s="28" t="s">
        <v>135</v>
      </c>
    </row>
    <row r="17">
      <c r="A17" s="112">
        <f>IFERROR(__xludf.DUMMYFUNCTION("""COMPUTED_VALUE"""),45535.0)</f>
        <v>45535</v>
      </c>
      <c r="B17" s="113">
        <f>IFERROR(__xludf.DUMMYFUNCTION("""COMPUTED_VALUE"""),15.0)</f>
        <v>15</v>
      </c>
      <c r="C17" s="28" t="str">
        <f>IFERROR(__xludf.DUMMYFUNCTION("""COMPUTED_VALUE"""),"Money In")</f>
        <v>Money In</v>
      </c>
      <c r="D17" s="28"/>
      <c r="E17" s="28"/>
      <c r="F17" s="28"/>
      <c r="G17" s="28">
        <v>15.0</v>
      </c>
      <c r="H17" s="28" t="s">
        <v>146</v>
      </c>
      <c r="J17" s="28" t="s">
        <v>146</v>
      </c>
    </row>
    <row r="18">
      <c r="A18" s="112">
        <f>IFERROR(__xludf.DUMMYFUNCTION("""COMPUTED_VALUE"""),45535.0)</f>
        <v>45535</v>
      </c>
      <c r="B18" s="113">
        <f>IFERROR(__xludf.DUMMYFUNCTION("""COMPUTED_VALUE"""),15.0)</f>
        <v>15</v>
      </c>
      <c r="C18" s="28" t="str">
        <f>IFERROR(__xludf.DUMMYFUNCTION("""COMPUTED_VALUE"""),"Money Out")</f>
        <v>Money Out</v>
      </c>
      <c r="D18" s="28"/>
      <c r="E18" s="28"/>
      <c r="F18" s="28"/>
      <c r="G18" s="28">
        <v>-15.0</v>
      </c>
      <c r="H18" s="28" t="s">
        <v>146</v>
      </c>
      <c r="J18" s="28" t="s">
        <v>146</v>
      </c>
    </row>
    <row r="19">
      <c r="A19" s="112">
        <f>IFERROR(__xludf.DUMMYFUNCTION("""COMPUTED_VALUE"""),45536.0)</f>
        <v>45536</v>
      </c>
      <c r="B19" s="113">
        <f>IFERROR(__xludf.DUMMYFUNCTION("""COMPUTED_VALUE"""),190.0)</f>
        <v>190</v>
      </c>
      <c r="C19" s="28" t="str">
        <f>IFERROR(__xludf.DUMMYFUNCTION("""COMPUTED_VALUE"""),"Money Out")</f>
        <v>Money Out</v>
      </c>
      <c r="D19" s="28"/>
      <c r="E19" s="28"/>
      <c r="F19" s="28" t="str">
        <f>IFERROR(__xludf.DUMMYFUNCTION("""COMPUTED_VALUE"""),"تعديل الميزانيه")</f>
        <v>تعديل الميزانيه</v>
      </c>
      <c r="G19" s="28">
        <v>-190.0</v>
      </c>
      <c r="H19" s="28" t="s">
        <v>146</v>
      </c>
      <c r="J19" s="28" t="s">
        <v>146</v>
      </c>
    </row>
    <row r="20">
      <c r="A20" s="112">
        <f>IFERROR(__xludf.DUMMYFUNCTION("""COMPUTED_VALUE"""),45536.0)</f>
        <v>45536</v>
      </c>
      <c r="B20" s="113">
        <f>IFERROR(__xludf.DUMMYFUNCTION("""COMPUTED_VALUE"""),827.0)</f>
        <v>827</v>
      </c>
      <c r="C20" s="28" t="str">
        <f>IFERROR(__xludf.DUMMYFUNCTION("""COMPUTED_VALUE"""),"Money Out")</f>
        <v>Money Out</v>
      </c>
      <c r="D20" s="28" t="str">
        <f>IFERROR(__xludf.DUMMYFUNCTION("""COMPUTED_VALUE"""),"Product Restocking")</f>
        <v>Product Restocking</v>
      </c>
      <c r="E20" s="28"/>
      <c r="F20" s="28" t="str">
        <f>IFERROR(__xludf.DUMMYFUNCTION("""COMPUTED_VALUE"""),"بضاعه ")</f>
        <v>بضاعه </v>
      </c>
      <c r="G20" s="28">
        <v>-827.0</v>
      </c>
      <c r="H20" s="28" t="s">
        <v>134</v>
      </c>
      <c r="J20" s="28" t="s">
        <v>134</v>
      </c>
    </row>
    <row r="21">
      <c r="A21" s="112">
        <f>IFERROR(__xludf.DUMMYFUNCTION("""COMPUTED_VALUE"""),45537.0)</f>
        <v>45537</v>
      </c>
      <c r="B21" s="113">
        <f>IFERROR(__xludf.DUMMYFUNCTION("""COMPUTED_VALUE"""),40.0)</f>
        <v>40</v>
      </c>
      <c r="C21" s="28" t="str">
        <f>IFERROR(__xludf.DUMMYFUNCTION("""COMPUTED_VALUE"""),"Money Out")</f>
        <v>Money Out</v>
      </c>
      <c r="D21" s="28" t="str">
        <f>IFERROR(__xludf.DUMMYFUNCTION("""COMPUTED_VALUE"""),"Product Restocking")</f>
        <v>Product Restocking</v>
      </c>
      <c r="E21" s="28"/>
      <c r="F21" s="28" t="str">
        <f>IFERROR(__xludf.DUMMYFUNCTION("""COMPUTED_VALUE"""),"بضاعه (مياه)")</f>
        <v>بضاعه (مياه)</v>
      </c>
      <c r="G21" s="28">
        <v>-40.0</v>
      </c>
      <c r="H21" s="28" t="s">
        <v>134</v>
      </c>
      <c r="J21" s="28" t="s">
        <v>134</v>
      </c>
    </row>
    <row r="22">
      <c r="A22" s="112">
        <f>IFERROR(__xludf.DUMMYFUNCTION("""COMPUTED_VALUE"""),45539.0)</f>
        <v>45539</v>
      </c>
      <c r="B22" s="113">
        <f>IFERROR(__xludf.DUMMYFUNCTION("""COMPUTED_VALUE"""),1082.0)</f>
        <v>1082</v>
      </c>
      <c r="C22" s="28" t="str">
        <f>IFERROR(__xludf.DUMMYFUNCTION("""COMPUTED_VALUE"""),"Money In")</f>
        <v>Money In</v>
      </c>
      <c r="D22" s="28" t="str">
        <f>IFERROR(__xludf.DUMMYFUNCTION("""COMPUTED_VALUE"""),"Revenue")</f>
        <v>Revenue</v>
      </c>
      <c r="E22" s="28" t="str">
        <f>IFERROR(__xludf.DUMMYFUNCTION("""COMPUTED_VALUE"""),"deplomacyMall")</f>
        <v>deplomacyMall</v>
      </c>
      <c r="F22" s="28"/>
      <c r="G22" s="28">
        <v>1082.0</v>
      </c>
      <c r="H22" s="28" t="s">
        <v>135</v>
      </c>
      <c r="J22" s="28" t="s">
        <v>135</v>
      </c>
    </row>
    <row r="23">
      <c r="A23" s="112">
        <f>IFERROR(__xludf.DUMMYFUNCTION("""COMPUTED_VALUE"""),45539.0)</f>
        <v>45539</v>
      </c>
      <c r="B23" s="113">
        <f>IFERROR(__xludf.DUMMYFUNCTION("""COMPUTED_VALUE"""),40.0)</f>
        <v>40</v>
      </c>
      <c r="C23" s="28" t="str">
        <f>IFERROR(__xludf.DUMMYFUNCTION("""COMPUTED_VALUE"""),"Money Out")</f>
        <v>Money Out</v>
      </c>
      <c r="D23" s="28" t="str">
        <f>IFERROR(__xludf.DUMMYFUNCTION("""COMPUTED_VALUE"""),"Product Restocking")</f>
        <v>Product Restocking</v>
      </c>
      <c r="E23" s="28"/>
      <c r="F23" s="28" t="str">
        <f>IFERROR(__xludf.DUMMYFUNCTION("""COMPUTED_VALUE"""),"بضاعه (مياه)")</f>
        <v>بضاعه (مياه)</v>
      </c>
      <c r="G23" s="28">
        <v>-40.0</v>
      </c>
      <c r="H23" s="28" t="s">
        <v>134</v>
      </c>
      <c r="J23" s="28" t="s">
        <v>134</v>
      </c>
    </row>
    <row r="24">
      <c r="A24" s="112">
        <f>IFERROR(__xludf.DUMMYFUNCTION("""COMPUTED_VALUE"""),45540.0)</f>
        <v>45540</v>
      </c>
      <c r="B24" s="113">
        <f>IFERROR(__xludf.DUMMYFUNCTION("""COMPUTED_VALUE"""),64.0)</f>
        <v>64</v>
      </c>
      <c r="C24" s="28" t="str">
        <f>IFERROR(__xludf.DUMMYFUNCTION("""COMPUTED_VALUE"""),"Money Out")</f>
        <v>Money Out</v>
      </c>
      <c r="D24" s="28" t="str">
        <f>IFERROR(__xludf.DUMMYFUNCTION("""COMPUTED_VALUE"""),"Product Restocking")</f>
        <v>Product Restocking</v>
      </c>
      <c r="E24" s="28"/>
      <c r="F24" s="28" t="str">
        <f>IFERROR(__xludf.DUMMYFUNCTION("""COMPUTED_VALUE"""),"بضاعه (مياه)")</f>
        <v>بضاعه (مياه)</v>
      </c>
      <c r="G24" s="28">
        <v>-64.0</v>
      </c>
      <c r="H24" s="28" t="s">
        <v>134</v>
      </c>
      <c r="J24" s="28" t="s">
        <v>134</v>
      </c>
    </row>
    <row r="25">
      <c r="A25" s="112">
        <f>IFERROR(__xludf.DUMMYFUNCTION("""COMPUTED_VALUE"""),45542.0)</f>
        <v>45542</v>
      </c>
      <c r="B25" s="113">
        <f>IFERROR(__xludf.DUMMYFUNCTION("""COMPUTED_VALUE"""),1574.0)</f>
        <v>1574</v>
      </c>
      <c r="C25" s="28" t="str">
        <f>IFERROR(__xludf.DUMMYFUNCTION("""COMPUTED_VALUE"""),"Money Out")</f>
        <v>Money Out</v>
      </c>
      <c r="D25" s="28" t="str">
        <f>IFERROR(__xludf.DUMMYFUNCTION("""COMPUTED_VALUE"""),"Product Restocking")</f>
        <v>Product Restocking</v>
      </c>
      <c r="E25" s="28"/>
      <c r="F25" s="28" t="str">
        <f>IFERROR(__xludf.DUMMYFUNCTION("""COMPUTED_VALUE"""),"بضاعه ")</f>
        <v>بضاعه </v>
      </c>
      <c r="G25" s="28">
        <v>-1574.0</v>
      </c>
      <c r="H25" s="28" t="s">
        <v>134</v>
      </c>
      <c r="J25" s="28" t="s">
        <v>134</v>
      </c>
    </row>
    <row r="26">
      <c r="A26" s="112">
        <f>IFERROR(__xludf.DUMMYFUNCTION("""COMPUTED_VALUE"""),45542.0)</f>
        <v>45542</v>
      </c>
      <c r="B26" s="113">
        <f>IFERROR(__xludf.DUMMYFUNCTION("""COMPUTED_VALUE"""),20.0)</f>
        <v>20</v>
      </c>
      <c r="C26" s="28" t="str">
        <f>IFERROR(__xludf.DUMMYFUNCTION("""COMPUTED_VALUE"""),"Money Out")</f>
        <v>Money Out</v>
      </c>
      <c r="D26" s="28" t="str">
        <f>IFERROR(__xludf.DUMMYFUNCTION("""COMPUTED_VALUE"""),"Product Restocking")</f>
        <v>Product Restocking</v>
      </c>
      <c r="E26" s="28"/>
      <c r="F26" s="28" t="str">
        <f>IFERROR(__xludf.DUMMYFUNCTION("""COMPUTED_VALUE"""),"بضاعه (مياه)")</f>
        <v>بضاعه (مياه)</v>
      </c>
      <c r="G26" s="28">
        <v>-20.0</v>
      </c>
      <c r="H26" s="28" t="s">
        <v>134</v>
      </c>
      <c r="J26" s="28" t="s">
        <v>134</v>
      </c>
    </row>
    <row r="27">
      <c r="A27" s="112">
        <f>IFERROR(__xludf.DUMMYFUNCTION("""COMPUTED_VALUE"""),45543.0)</f>
        <v>45543</v>
      </c>
      <c r="B27" s="113">
        <f>IFERROR(__xludf.DUMMYFUNCTION("""COMPUTED_VALUE"""),40.0)</f>
        <v>40</v>
      </c>
      <c r="C27" s="28" t="str">
        <f>IFERROR(__xludf.DUMMYFUNCTION("""COMPUTED_VALUE"""),"Money Out")</f>
        <v>Money Out</v>
      </c>
      <c r="D27" s="28" t="str">
        <f>IFERROR(__xludf.DUMMYFUNCTION("""COMPUTED_VALUE"""),"Product Restocking")</f>
        <v>Product Restocking</v>
      </c>
      <c r="E27" s="28"/>
      <c r="F27" s="28" t="str">
        <f>IFERROR(__xludf.DUMMYFUNCTION("""COMPUTED_VALUE"""),"بضاعه (مياه)")</f>
        <v>بضاعه (مياه)</v>
      </c>
      <c r="G27" s="28">
        <v>-40.0</v>
      </c>
      <c r="H27" s="28" t="s">
        <v>134</v>
      </c>
      <c r="J27" s="28" t="s">
        <v>134</v>
      </c>
    </row>
    <row r="28">
      <c r="A28" s="112">
        <f>IFERROR(__xludf.DUMMYFUNCTION("""COMPUTED_VALUE"""),45544.0)</f>
        <v>45544</v>
      </c>
      <c r="B28" s="113">
        <f>IFERROR(__xludf.DUMMYFUNCTION("""COMPUTED_VALUE"""),1896.0)</f>
        <v>1896</v>
      </c>
      <c r="C28" s="28" t="str">
        <f>IFERROR(__xludf.DUMMYFUNCTION("""COMPUTED_VALUE"""),"Money In")</f>
        <v>Money In</v>
      </c>
      <c r="D28" s="28" t="str">
        <f>IFERROR(__xludf.DUMMYFUNCTION("""COMPUTED_VALUE"""),"Revenue")</f>
        <v>Revenue</v>
      </c>
      <c r="E28" s="28" t="str">
        <f>IFERROR(__xludf.DUMMYFUNCTION("""COMPUTED_VALUE"""),"deplomacyMall")</f>
        <v>deplomacyMall</v>
      </c>
      <c r="F28" s="28"/>
      <c r="G28" s="28">
        <v>1896.0</v>
      </c>
      <c r="H28" s="28" t="s">
        <v>135</v>
      </c>
      <c r="J28" s="28" t="s">
        <v>135</v>
      </c>
    </row>
    <row r="29">
      <c r="A29" s="112">
        <f>IFERROR(__xludf.DUMMYFUNCTION("""COMPUTED_VALUE"""),45544.0)</f>
        <v>45544</v>
      </c>
      <c r="B29" s="113">
        <f>IFERROR(__xludf.DUMMYFUNCTION("""COMPUTED_VALUE"""),40.0)</f>
        <v>40</v>
      </c>
      <c r="C29" s="28" t="str">
        <f>IFERROR(__xludf.DUMMYFUNCTION("""COMPUTED_VALUE"""),"Money Out")</f>
        <v>Money Out</v>
      </c>
      <c r="D29" s="28" t="str">
        <f>IFERROR(__xludf.DUMMYFUNCTION("""COMPUTED_VALUE"""),"Product Restocking")</f>
        <v>Product Restocking</v>
      </c>
      <c r="E29" s="28"/>
      <c r="F29" s="28" t="str">
        <f>IFERROR(__xludf.DUMMYFUNCTION("""COMPUTED_VALUE"""),"بضاعه (مياه)")</f>
        <v>بضاعه (مياه)</v>
      </c>
      <c r="G29" s="28">
        <v>-40.0</v>
      </c>
      <c r="H29" s="28" t="s">
        <v>134</v>
      </c>
      <c r="J29" s="28" t="s">
        <v>134</v>
      </c>
    </row>
    <row r="30">
      <c r="A30" s="112">
        <f>IFERROR(__xludf.DUMMYFUNCTION("""COMPUTED_VALUE"""),45545.0)</f>
        <v>45545</v>
      </c>
      <c r="B30" s="113">
        <f>IFERROR(__xludf.DUMMYFUNCTION("""COMPUTED_VALUE"""),225.0)</f>
        <v>225</v>
      </c>
      <c r="C30" s="28" t="str">
        <f>IFERROR(__xludf.DUMMYFUNCTION("""COMPUTED_VALUE"""),"Money Out")</f>
        <v>Money Out</v>
      </c>
      <c r="D30" s="28" t="str">
        <f>IFERROR(__xludf.DUMMYFUNCTION("""COMPUTED_VALUE"""),"Product Restocking")</f>
        <v>Product Restocking</v>
      </c>
      <c r="E30" s="28"/>
      <c r="F30" s="28"/>
      <c r="G30" s="28">
        <v>-225.0</v>
      </c>
      <c r="H30" s="28" t="s">
        <v>134</v>
      </c>
      <c r="J30" s="28" t="s">
        <v>134</v>
      </c>
    </row>
    <row r="31">
      <c r="A31" s="112">
        <f>IFERROR(__xludf.DUMMYFUNCTION("""COMPUTED_VALUE"""),45545.0)</f>
        <v>45545</v>
      </c>
      <c r="B31" s="113">
        <f>IFERROR(__xludf.DUMMYFUNCTION("""COMPUTED_VALUE"""),325.0)</f>
        <v>325</v>
      </c>
      <c r="C31" s="28" t="str">
        <f>IFERROR(__xludf.DUMMYFUNCTION("""COMPUTED_VALUE"""),"Money Out")</f>
        <v>Money Out</v>
      </c>
      <c r="D31" s="28" t="str">
        <f>IFERROR(__xludf.DUMMYFUNCTION("""COMPUTED_VALUE"""),"Product Restocking")</f>
        <v>Product Restocking</v>
      </c>
      <c r="E31" s="28"/>
      <c r="F31" s="28"/>
      <c r="G31" s="28">
        <v>-325.0</v>
      </c>
      <c r="H31" s="28" t="s">
        <v>134</v>
      </c>
      <c r="J31" s="28" t="s">
        <v>134</v>
      </c>
    </row>
    <row r="32">
      <c r="A32" s="112">
        <f>IFERROR(__xludf.DUMMYFUNCTION("""COMPUTED_VALUE"""),45546.0)</f>
        <v>45546</v>
      </c>
      <c r="B32" s="113">
        <f>IFERROR(__xludf.DUMMYFUNCTION("""COMPUTED_VALUE"""),57.75)</f>
        <v>57.75</v>
      </c>
      <c r="C32" s="28" t="str">
        <f>IFERROR(__xludf.DUMMYFUNCTION("""COMPUTED_VALUE"""),"Money Out")</f>
        <v>Money Out</v>
      </c>
      <c r="D32" s="28" t="str">
        <f>IFERROR(__xludf.DUMMYFUNCTION("""COMPUTED_VALUE"""),"Product Restocking")</f>
        <v>Product Restocking</v>
      </c>
      <c r="E32" s="28"/>
      <c r="F32" s="28" t="str">
        <f>IFERROR(__xludf.DUMMYFUNCTION("""COMPUTED_VALUE"""),"بضاعه (مياه)")</f>
        <v>بضاعه (مياه)</v>
      </c>
      <c r="G32" s="28">
        <v>-57.75</v>
      </c>
      <c r="H32" s="28" t="s">
        <v>134</v>
      </c>
      <c r="J32" s="28" t="s">
        <v>134</v>
      </c>
    </row>
    <row r="33">
      <c r="A33" s="112">
        <f>IFERROR(__xludf.DUMMYFUNCTION("""COMPUTED_VALUE"""),45547.0)</f>
        <v>45547</v>
      </c>
      <c r="B33" s="113">
        <f>IFERROR(__xludf.DUMMYFUNCTION("""COMPUTED_VALUE"""),1134.0)</f>
        <v>1134</v>
      </c>
      <c r="C33" s="28" t="str">
        <f>IFERROR(__xludf.DUMMYFUNCTION("""COMPUTED_VALUE"""),"Money In")</f>
        <v>Money In</v>
      </c>
      <c r="D33" s="28" t="str">
        <f>IFERROR(__xludf.DUMMYFUNCTION("""COMPUTED_VALUE"""),"Revenue")</f>
        <v>Revenue</v>
      </c>
      <c r="E33" s="28" t="str">
        <f>IFERROR(__xludf.DUMMYFUNCTION("""COMPUTED_VALUE"""),"deplomacyMall")</f>
        <v>deplomacyMall</v>
      </c>
      <c r="F33" s="28"/>
      <c r="G33" s="28">
        <v>1134.0</v>
      </c>
      <c r="H33" s="28" t="s">
        <v>135</v>
      </c>
      <c r="J33" s="28" t="s">
        <v>135</v>
      </c>
    </row>
    <row r="34">
      <c r="A34" s="112">
        <f>IFERROR(__xludf.DUMMYFUNCTION("""COMPUTED_VALUE"""),45547.0)</f>
        <v>45547</v>
      </c>
      <c r="B34" s="113">
        <f>IFERROR(__xludf.DUMMYFUNCTION("""COMPUTED_VALUE"""),446.0)</f>
        <v>446</v>
      </c>
      <c r="C34" s="28" t="str">
        <f>IFERROR(__xludf.DUMMYFUNCTION("""COMPUTED_VALUE"""),"Money Out")</f>
        <v>Money Out</v>
      </c>
      <c r="D34" s="28" t="str">
        <f>IFERROR(__xludf.DUMMYFUNCTION("""COMPUTED_VALUE"""),"Product Restocking")</f>
        <v>Product Restocking</v>
      </c>
      <c r="E34" s="28"/>
      <c r="F34" s="28"/>
      <c r="G34" s="28">
        <v>-446.0</v>
      </c>
      <c r="H34" s="28" t="s">
        <v>134</v>
      </c>
      <c r="J34" s="28" t="s">
        <v>134</v>
      </c>
    </row>
    <row r="35">
      <c r="A35" s="112">
        <f>IFERROR(__xludf.DUMMYFUNCTION("""COMPUTED_VALUE"""),45546.0)</f>
        <v>45546</v>
      </c>
      <c r="B35" s="113">
        <f>IFERROR(__xludf.DUMMYFUNCTION("""COMPUTED_VALUE"""),61.0)</f>
        <v>61</v>
      </c>
      <c r="C35" s="28" t="str">
        <f>IFERROR(__xludf.DUMMYFUNCTION("""COMPUTED_VALUE"""),"Money Out")</f>
        <v>Money Out</v>
      </c>
      <c r="D35" s="28" t="str">
        <f>IFERROR(__xludf.DUMMYFUNCTION("""COMPUTED_VALUE"""),"Product Restocking")</f>
        <v>Product Restocking</v>
      </c>
      <c r="E35" s="28"/>
      <c r="F35" s="28"/>
      <c r="G35" s="28">
        <v>-61.0</v>
      </c>
      <c r="H35" s="28" t="s">
        <v>134</v>
      </c>
      <c r="J35" s="28" t="s">
        <v>134</v>
      </c>
    </row>
    <row r="36">
      <c r="A36" s="112">
        <f>IFERROR(__xludf.DUMMYFUNCTION("""COMPUTED_VALUE"""),45547.0)</f>
        <v>45547</v>
      </c>
      <c r="B36" s="113">
        <f>IFERROR(__xludf.DUMMYFUNCTION("""COMPUTED_VALUE"""),72.0)</f>
        <v>72</v>
      </c>
      <c r="C36" s="28" t="str">
        <f>IFERROR(__xludf.DUMMYFUNCTION("""COMPUTED_VALUE"""),"Money Out")</f>
        <v>Money Out</v>
      </c>
      <c r="D36" s="28" t="str">
        <f>IFERROR(__xludf.DUMMYFUNCTION("""COMPUTED_VALUE"""),"Product Restocking")</f>
        <v>Product Restocking</v>
      </c>
      <c r="E36" s="28"/>
      <c r="F36" s="28" t="str">
        <f>IFERROR(__xludf.DUMMYFUNCTION("""COMPUTED_VALUE"""),"بضاعه (مياه)")</f>
        <v>بضاعه (مياه)</v>
      </c>
      <c r="G36" s="28">
        <v>-72.0</v>
      </c>
      <c r="H36" s="28" t="s">
        <v>134</v>
      </c>
      <c r="J36" s="28" t="s">
        <v>134</v>
      </c>
    </row>
    <row r="37">
      <c r="A37" s="112">
        <f>IFERROR(__xludf.DUMMYFUNCTION("""COMPUTED_VALUE"""),45549.0)</f>
        <v>45549</v>
      </c>
      <c r="B37" s="113">
        <f>IFERROR(__xludf.DUMMYFUNCTION("""COMPUTED_VALUE"""),177.0)</f>
        <v>177</v>
      </c>
      <c r="C37" s="28" t="str">
        <f>IFERROR(__xludf.DUMMYFUNCTION("""COMPUTED_VALUE"""),"Money Out")</f>
        <v>Money Out</v>
      </c>
      <c r="D37" s="28" t="str">
        <f>IFERROR(__xludf.DUMMYFUNCTION("""COMPUTED_VALUE"""),"Product Restocking")</f>
        <v>Product Restocking</v>
      </c>
      <c r="E37" s="28"/>
      <c r="F37" s="28"/>
      <c r="G37" s="28">
        <v>-177.0</v>
      </c>
      <c r="H37" s="28" t="s">
        <v>134</v>
      </c>
      <c r="J37" s="28" t="s">
        <v>134</v>
      </c>
    </row>
    <row r="38">
      <c r="A38" s="112">
        <f>IFERROR(__xludf.DUMMYFUNCTION("""COMPUTED_VALUE"""),45550.0)</f>
        <v>45550</v>
      </c>
      <c r="B38" s="113">
        <f>IFERROR(__xludf.DUMMYFUNCTION("""COMPUTED_VALUE"""),1280.0)</f>
        <v>1280</v>
      </c>
      <c r="C38" s="28" t="str">
        <f>IFERROR(__xludf.DUMMYFUNCTION("""COMPUTED_VALUE"""),"Money In")</f>
        <v>Money In</v>
      </c>
      <c r="D38" s="28" t="str">
        <f>IFERROR(__xludf.DUMMYFUNCTION("""COMPUTED_VALUE"""),"Revenue")</f>
        <v>Revenue</v>
      </c>
      <c r="E38" s="28" t="str">
        <f>IFERROR(__xludf.DUMMYFUNCTION("""COMPUTED_VALUE"""),"deplomacyMall")</f>
        <v>deplomacyMall</v>
      </c>
      <c r="F38" s="28"/>
      <c r="G38" s="28">
        <v>1280.0</v>
      </c>
      <c r="H38" s="28" t="s">
        <v>135</v>
      </c>
      <c r="J38" s="28" t="s">
        <v>135</v>
      </c>
    </row>
    <row r="39">
      <c r="A39" s="112">
        <f>IFERROR(__xludf.DUMMYFUNCTION("""COMPUTED_VALUE"""),45551.0)</f>
        <v>45551</v>
      </c>
      <c r="B39" s="113">
        <f>IFERROR(__xludf.DUMMYFUNCTION("""COMPUTED_VALUE"""),72.0)</f>
        <v>72</v>
      </c>
      <c r="C39" s="28" t="str">
        <f>IFERROR(__xludf.DUMMYFUNCTION("""COMPUTED_VALUE"""),"Money Out")</f>
        <v>Money Out</v>
      </c>
      <c r="D39" s="28" t="str">
        <f>IFERROR(__xludf.DUMMYFUNCTION("""COMPUTED_VALUE"""),"Product Restocking")</f>
        <v>Product Restocking</v>
      </c>
      <c r="E39" s="28"/>
      <c r="F39" s="28" t="str">
        <f>IFERROR(__xludf.DUMMYFUNCTION("""COMPUTED_VALUE"""),"بضاعه (مياه)")</f>
        <v>بضاعه (مياه)</v>
      </c>
      <c r="G39" s="28">
        <v>-72.0</v>
      </c>
      <c r="H39" s="28" t="s">
        <v>134</v>
      </c>
      <c r="J39" s="28" t="s">
        <v>134</v>
      </c>
    </row>
    <row r="40">
      <c r="A40" s="112">
        <f>IFERROR(__xludf.DUMMYFUNCTION("""COMPUTED_VALUE"""),45551.0)</f>
        <v>45551</v>
      </c>
      <c r="B40" s="113">
        <f>IFERROR(__xludf.DUMMYFUNCTION("""COMPUTED_VALUE"""),585.0)</f>
        <v>585</v>
      </c>
      <c r="C40" s="28" t="str">
        <f>IFERROR(__xludf.DUMMYFUNCTION("""COMPUTED_VALUE"""),"Money In")</f>
        <v>Money In</v>
      </c>
      <c r="D40" s="28" t="str">
        <f>IFERROR(__xludf.DUMMYFUNCTION("""COMPUTED_VALUE"""),"Revenue")</f>
        <v>Revenue</v>
      </c>
      <c r="E40" s="28" t="str">
        <f>IFERROR(__xludf.DUMMYFUNCTION("""COMPUTED_VALUE"""),"deplomacyMall")</f>
        <v>deplomacyMall</v>
      </c>
      <c r="F40" s="28"/>
      <c r="G40" s="28">
        <v>585.0</v>
      </c>
      <c r="H40" s="28" t="s">
        <v>135</v>
      </c>
      <c r="J40" s="28" t="s">
        <v>135</v>
      </c>
    </row>
    <row r="41">
      <c r="A41" s="112">
        <f>IFERROR(__xludf.DUMMYFUNCTION("""COMPUTED_VALUE"""),45551.0)</f>
        <v>45551</v>
      </c>
      <c r="B41" s="113">
        <f>IFERROR(__xludf.DUMMYFUNCTION("""COMPUTED_VALUE"""),164.0)</f>
        <v>164</v>
      </c>
      <c r="C41" s="28" t="str">
        <f>IFERROR(__xludf.DUMMYFUNCTION("""COMPUTED_VALUE"""),"Money Out")</f>
        <v>Money Out</v>
      </c>
      <c r="D41" s="28" t="str">
        <f>IFERROR(__xludf.DUMMYFUNCTION("""COMPUTED_VALUE"""),"Product Restocking")</f>
        <v>Product Restocking</v>
      </c>
      <c r="E41" s="28"/>
      <c r="F41" s="28"/>
      <c r="G41" s="28">
        <v>-164.0</v>
      </c>
      <c r="H41" s="28" t="s">
        <v>134</v>
      </c>
      <c r="J41" s="28" t="s">
        <v>134</v>
      </c>
    </row>
    <row r="42">
      <c r="A42" s="112">
        <f>IFERROR(__xludf.DUMMYFUNCTION("""COMPUTED_VALUE"""),45553.0)</f>
        <v>45553</v>
      </c>
      <c r="B42" s="113">
        <f>IFERROR(__xludf.DUMMYFUNCTION("""COMPUTED_VALUE"""),718.0)</f>
        <v>718</v>
      </c>
      <c r="C42" s="28" t="str">
        <f>IFERROR(__xludf.DUMMYFUNCTION("""COMPUTED_VALUE"""),"Money Out")</f>
        <v>Money Out</v>
      </c>
      <c r="D42" s="28" t="str">
        <f>IFERROR(__xludf.DUMMYFUNCTION("""COMPUTED_VALUE"""),"Product Restocking")</f>
        <v>Product Restocking</v>
      </c>
      <c r="E42" s="28"/>
      <c r="F42" s="28"/>
      <c r="G42" s="28">
        <v>-718.0</v>
      </c>
      <c r="H42" s="28" t="s">
        <v>134</v>
      </c>
      <c r="J42" s="28" t="s">
        <v>134</v>
      </c>
    </row>
    <row r="43">
      <c r="A43" s="112">
        <f>IFERROR(__xludf.DUMMYFUNCTION("""COMPUTED_VALUE"""),45554.0)</f>
        <v>45554</v>
      </c>
      <c r="B43" s="113">
        <f>IFERROR(__xludf.DUMMYFUNCTION("""COMPUTED_VALUE"""),792.0)</f>
        <v>792</v>
      </c>
      <c r="C43" s="28" t="str">
        <f>IFERROR(__xludf.DUMMYFUNCTION("""COMPUTED_VALUE"""),"Money In")</f>
        <v>Money In</v>
      </c>
      <c r="D43" s="28" t="str">
        <f>IFERROR(__xludf.DUMMYFUNCTION("""COMPUTED_VALUE"""),"Revenue")</f>
        <v>Revenue</v>
      </c>
      <c r="E43" s="28" t="str">
        <f>IFERROR(__xludf.DUMMYFUNCTION("""COMPUTED_VALUE"""),"deplomacyMall")</f>
        <v>deplomacyMall</v>
      </c>
      <c r="F43" s="28"/>
      <c r="G43" s="28">
        <v>792.0</v>
      </c>
      <c r="H43" s="28" t="s">
        <v>135</v>
      </c>
      <c r="J43" s="28" t="s">
        <v>135</v>
      </c>
    </row>
    <row r="44">
      <c r="A44" s="112">
        <f>IFERROR(__xludf.DUMMYFUNCTION("""COMPUTED_VALUE"""),45554.0)</f>
        <v>45554</v>
      </c>
      <c r="B44" s="113"/>
      <c r="C44" s="28"/>
      <c r="D44" s="28"/>
      <c r="E44" s="28"/>
      <c r="F44" s="28"/>
      <c r="G44" s="28">
        <v>0.0</v>
      </c>
      <c r="H44" s="28" t="s">
        <v>146</v>
      </c>
      <c r="J44" s="28" t="s">
        <v>146</v>
      </c>
    </row>
    <row r="45">
      <c r="A45" s="112">
        <f>IFERROR(__xludf.DUMMYFUNCTION("""COMPUTED_VALUE"""),45556.0)</f>
        <v>45556</v>
      </c>
      <c r="B45" s="113">
        <f>IFERROR(__xludf.DUMMYFUNCTION("""COMPUTED_VALUE"""),1144.0)</f>
        <v>1144</v>
      </c>
      <c r="C45" s="28" t="str">
        <f>IFERROR(__xludf.DUMMYFUNCTION("""COMPUTED_VALUE"""),"Money In")</f>
        <v>Money In</v>
      </c>
      <c r="D45" s="28" t="str">
        <f>IFERROR(__xludf.DUMMYFUNCTION("""COMPUTED_VALUE"""),"Revenue")</f>
        <v>Revenue</v>
      </c>
      <c r="E45" s="28" t="str">
        <f>IFERROR(__xludf.DUMMYFUNCTION("""COMPUTED_VALUE"""),"deplomacyMall")</f>
        <v>deplomacyMall</v>
      </c>
      <c r="F45" s="28"/>
      <c r="G45" s="28">
        <v>1144.0</v>
      </c>
      <c r="H45" s="28" t="s">
        <v>135</v>
      </c>
      <c r="J45" s="28" t="s">
        <v>135</v>
      </c>
    </row>
    <row r="46">
      <c r="A46" s="112">
        <f>IFERROR(__xludf.DUMMYFUNCTION("""COMPUTED_VALUE"""),45556.0)</f>
        <v>45556</v>
      </c>
      <c r="B46" s="113">
        <f>IFERROR(__xludf.DUMMYFUNCTION("""COMPUTED_VALUE"""),51.0)</f>
        <v>51</v>
      </c>
      <c r="C46" s="28" t="str">
        <f>IFERROR(__xludf.DUMMYFUNCTION("""COMPUTED_VALUE"""),"Money Out")</f>
        <v>Money Out</v>
      </c>
      <c r="D46" s="28" t="str">
        <f>IFERROR(__xludf.DUMMYFUNCTION("""COMPUTED_VALUE"""),"Product Restocking")</f>
        <v>Product Restocking</v>
      </c>
      <c r="E46" s="28"/>
      <c r="F46" s="28" t="str">
        <f>IFERROR(__xludf.DUMMYFUNCTION("""COMPUTED_VALUE"""),"بضاعه (مياه)")</f>
        <v>بضاعه (مياه)</v>
      </c>
      <c r="G46" s="28">
        <v>-51.0</v>
      </c>
      <c r="H46" s="28" t="s">
        <v>134</v>
      </c>
      <c r="J46" s="28" t="s">
        <v>134</v>
      </c>
    </row>
    <row r="47">
      <c r="A47" s="112">
        <f>IFERROR(__xludf.DUMMYFUNCTION("""COMPUTED_VALUE"""),45557.0)</f>
        <v>45557</v>
      </c>
      <c r="B47" s="113">
        <f>IFERROR(__xludf.DUMMYFUNCTION("""COMPUTED_VALUE"""),540.0)</f>
        <v>540</v>
      </c>
      <c r="C47" s="28" t="str">
        <f>IFERROR(__xludf.DUMMYFUNCTION("""COMPUTED_VALUE"""),"Money Out")</f>
        <v>Money Out</v>
      </c>
      <c r="D47" s="28" t="str">
        <f>IFERROR(__xludf.DUMMYFUNCTION("""COMPUTED_VALUE"""),"Product Restocking")</f>
        <v>Product Restocking</v>
      </c>
      <c r="E47" s="28"/>
      <c r="F47" s="28"/>
      <c r="G47" s="28">
        <v>-540.0</v>
      </c>
      <c r="H47" s="28" t="s">
        <v>134</v>
      </c>
      <c r="J47" s="28" t="s">
        <v>134</v>
      </c>
    </row>
    <row r="48">
      <c r="A48" s="112">
        <f>IFERROR(__xludf.DUMMYFUNCTION("""COMPUTED_VALUE"""),45556.0)</f>
        <v>45556</v>
      </c>
      <c r="B48" s="113">
        <f>IFERROR(__xludf.DUMMYFUNCTION("""COMPUTED_VALUE"""),101.0)</f>
        <v>101</v>
      </c>
      <c r="C48" s="28" t="str">
        <f>IFERROR(__xludf.DUMMYFUNCTION("""COMPUTED_VALUE"""),"Money Out")</f>
        <v>Money Out</v>
      </c>
      <c r="D48" s="28" t="str">
        <f>IFERROR(__xludf.DUMMYFUNCTION("""COMPUTED_VALUE"""),"Product Restocking")</f>
        <v>Product Restocking</v>
      </c>
      <c r="E48" s="28"/>
      <c r="F48" s="28"/>
      <c r="G48" s="28">
        <v>-101.0</v>
      </c>
      <c r="H48" s="28" t="s">
        <v>134</v>
      </c>
      <c r="J48" s="28" t="s">
        <v>134</v>
      </c>
    </row>
    <row r="49">
      <c r="A49" s="112">
        <f>IFERROR(__xludf.DUMMYFUNCTION("""COMPUTED_VALUE"""),45560.0)</f>
        <v>45560</v>
      </c>
      <c r="B49" s="113">
        <f>IFERROR(__xludf.DUMMYFUNCTION("""COMPUTED_VALUE"""),87.0)</f>
        <v>87</v>
      </c>
      <c r="C49" s="28" t="str">
        <f>IFERROR(__xludf.DUMMYFUNCTION("""COMPUTED_VALUE"""),"Money Out")</f>
        <v>Money Out</v>
      </c>
      <c r="D49" s="28" t="str">
        <f>IFERROR(__xludf.DUMMYFUNCTION("""COMPUTED_VALUE"""),"Product Restocking")</f>
        <v>Product Restocking</v>
      </c>
      <c r="E49" s="28"/>
      <c r="F49" s="28"/>
      <c r="G49" s="28">
        <v>-87.0</v>
      </c>
      <c r="H49" s="28" t="s">
        <v>134</v>
      </c>
      <c r="J49" s="28" t="s">
        <v>134</v>
      </c>
    </row>
    <row r="50">
      <c r="A50" s="112">
        <f>IFERROR(__xludf.DUMMYFUNCTION("""COMPUTED_VALUE"""),45561.0)</f>
        <v>45561</v>
      </c>
      <c r="B50" s="113">
        <f>IFERROR(__xludf.DUMMYFUNCTION("""COMPUTED_VALUE"""),50.5)</f>
        <v>50.5</v>
      </c>
      <c r="C50" s="28" t="str">
        <f>IFERROR(__xludf.DUMMYFUNCTION("""COMPUTED_VALUE"""),"Money Out")</f>
        <v>Money Out</v>
      </c>
      <c r="D50" s="28" t="str">
        <f>IFERROR(__xludf.DUMMYFUNCTION("""COMPUTED_VALUE"""),"Product Restocking")</f>
        <v>Product Restocking</v>
      </c>
      <c r="E50" s="28"/>
      <c r="F50" s="28" t="str">
        <f>IFERROR(__xludf.DUMMYFUNCTION("""COMPUTED_VALUE"""),"بضاعه (مياه)")</f>
        <v>بضاعه (مياه)</v>
      </c>
      <c r="G50" s="28">
        <v>-50.5</v>
      </c>
      <c r="H50" s="28" t="s">
        <v>134</v>
      </c>
      <c r="J50" s="28" t="s">
        <v>134</v>
      </c>
    </row>
    <row r="51">
      <c r="A51" s="112">
        <f>IFERROR(__xludf.DUMMYFUNCTION("""COMPUTED_VALUE"""),45561.0)</f>
        <v>45561</v>
      </c>
      <c r="B51" s="113">
        <f>IFERROR(__xludf.DUMMYFUNCTION("""COMPUTED_VALUE"""),1311.0)</f>
        <v>1311</v>
      </c>
      <c r="C51" s="28" t="str">
        <f>IFERROR(__xludf.DUMMYFUNCTION("""COMPUTED_VALUE"""),"Money In")</f>
        <v>Money In</v>
      </c>
      <c r="D51" s="28" t="str">
        <f>IFERROR(__xludf.DUMMYFUNCTION("""COMPUTED_VALUE"""),"Revenue")</f>
        <v>Revenue</v>
      </c>
      <c r="E51" s="28" t="str">
        <f>IFERROR(__xludf.DUMMYFUNCTION("""COMPUTED_VALUE"""),"deplomacyMall")</f>
        <v>deplomacyMall</v>
      </c>
      <c r="F51" s="28"/>
      <c r="G51" s="28">
        <v>1311.0</v>
      </c>
      <c r="H51" s="28" t="s">
        <v>135</v>
      </c>
      <c r="J51" s="28" t="s">
        <v>135</v>
      </c>
    </row>
    <row r="52">
      <c r="A52" s="112">
        <f>IFERROR(__xludf.DUMMYFUNCTION("""COMPUTED_VALUE"""),45563.0)</f>
        <v>45563</v>
      </c>
      <c r="B52" s="113">
        <f>IFERROR(__xludf.DUMMYFUNCTION("""COMPUTED_VALUE"""),960.0)</f>
        <v>960</v>
      </c>
      <c r="C52" s="28" t="str">
        <f>IFERROR(__xludf.DUMMYFUNCTION("""COMPUTED_VALUE"""),"Money Out")</f>
        <v>Money Out</v>
      </c>
      <c r="D52" s="28" t="str">
        <f>IFERROR(__xludf.DUMMYFUNCTION("""COMPUTED_VALUE"""),"Product Restocking")</f>
        <v>Product Restocking</v>
      </c>
      <c r="E52" s="28"/>
      <c r="F52" s="28"/>
      <c r="G52" s="28">
        <v>-960.0</v>
      </c>
      <c r="H52" s="28" t="s">
        <v>134</v>
      </c>
      <c r="J52" s="28" t="s">
        <v>134</v>
      </c>
    </row>
    <row r="53">
      <c r="A53" s="112">
        <f>IFERROR(__xludf.DUMMYFUNCTION("""COMPUTED_VALUE"""),45563.0)</f>
        <v>45563</v>
      </c>
      <c r="B53" s="113">
        <f>IFERROR(__xludf.DUMMYFUNCTION("""COMPUTED_VALUE"""),49.0)</f>
        <v>49</v>
      </c>
      <c r="C53" s="28" t="str">
        <f>IFERROR(__xludf.DUMMYFUNCTION("""COMPUTED_VALUE"""),"Money Out")</f>
        <v>Money Out</v>
      </c>
      <c r="D53" s="28" t="str">
        <f>IFERROR(__xludf.DUMMYFUNCTION("""COMPUTED_VALUE"""),"Product Restocking")</f>
        <v>Product Restocking</v>
      </c>
      <c r="E53" s="28"/>
      <c r="F53" s="28" t="str">
        <f>IFERROR(__xludf.DUMMYFUNCTION("""COMPUTED_VALUE"""),"بضاعه (مياه)")</f>
        <v>بضاعه (مياه)</v>
      </c>
      <c r="G53" s="28">
        <v>-49.0</v>
      </c>
      <c r="H53" s="28" t="s">
        <v>134</v>
      </c>
      <c r="J53" s="28" t="s">
        <v>134</v>
      </c>
    </row>
    <row r="54">
      <c r="A54" s="112">
        <f>IFERROR(__xludf.DUMMYFUNCTION("""COMPUTED_VALUE"""),45562.0)</f>
        <v>45562</v>
      </c>
      <c r="B54" s="113">
        <f>IFERROR(__xludf.DUMMYFUNCTION("""COMPUTED_VALUE"""),80.0)</f>
        <v>80</v>
      </c>
      <c r="C54" s="28" t="str">
        <f>IFERROR(__xludf.DUMMYFUNCTION("""COMPUTED_VALUE"""),"Money Out")</f>
        <v>Money Out</v>
      </c>
      <c r="D54" s="28"/>
      <c r="E54" s="28"/>
      <c r="F54" s="28" t="str">
        <f>IFERROR(__xludf.DUMMYFUNCTION("""COMPUTED_VALUE"""),"تركيب اللافته عل تلاجه")</f>
        <v>تركيب اللافته عل تلاجه</v>
      </c>
      <c r="G54" s="28">
        <v>-80.0</v>
      </c>
      <c r="H54" s="28" t="s">
        <v>146</v>
      </c>
      <c r="J54" s="28" t="s">
        <v>146</v>
      </c>
    </row>
    <row r="55">
      <c r="A55" s="112">
        <f>IFERROR(__xludf.DUMMYFUNCTION("""COMPUTED_VALUE"""),45566.0)</f>
        <v>45566</v>
      </c>
      <c r="B55" s="113">
        <f>IFERROR(__xludf.DUMMYFUNCTION("""COMPUTED_VALUE"""),375.0)</f>
        <v>375</v>
      </c>
      <c r="C55" s="28" t="str">
        <f>IFERROR(__xludf.DUMMYFUNCTION("""COMPUTED_VALUE"""),"Money Out")</f>
        <v>Money Out</v>
      </c>
      <c r="D55" s="28"/>
      <c r="E55" s="28"/>
      <c r="F55" s="28" t="str">
        <f>IFERROR(__xludf.DUMMYFUNCTION("""COMPUTED_VALUE"""),"ارسال (change box, motherboard) الى الصين")</f>
        <v>ارسال (change box, motherboard) الى الصين</v>
      </c>
      <c r="G55" s="28">
        <v>-375.0</v>
      </c>
      <c r="H55" s="28" t="s">
        <v>146</v>
      </c>
      <c r="J55" s="28" t="s">
        <v>146</v>
      </c>
    </row>
    <row r="56">
      <c r="A56" s="112">
        <f>IFERROR(__xludf.DUMMYFUNCTION("""COMPUTED_VALUE"""),45567.0)</f>
        <v>45567</v>
      </c>
      <c r="B56" s="113">
        <f>IFERROR(__xludf.DUMMYFUNCTION("""COMPUTED_VALUE"""),1500.0)</f>
        <v>1500</v>
      </c>
      <c r="C56" s="28" t="str">
        <f>IFERROR(__xludf.DUMMYFUNCTION("""COMPUTED_VALUE"""),"Money Out")</f>
        <v>Money Out</v>
      </c>
      <c r="D56" s="28"/>
      <c r="E56" s="28"/>
      <c r="F56" s="28" t="str">
        <f>IFERROR(__xludf.DUMMYFUNCTION("""COMPUTED_VALUE"""),"ارجاع قيمة الى محمد العتيري")</f>
        <v>ارجاع قيمة الى محمد العتيري</v>
      </c>
      <c r="G56" s="28">
        <v>-1500.0</v>
      </c>
      <c r="H56" s="28" t="s">
        <v>146</v>
      </c>
      <c r="J56" s="28" t="s">
        <v>146</v>
      </c>
    </row>
    <row r="57">
      <c r="A57" s="112">
        <f>IFERROR(__xludf.DUMMYFUNCTION("""COMPUTED_VALUE"""),45565.0)</f>
        <v>45565</v>
      </c>
      <c r="B57" s="113">
        <f>IFERROR(__xludf.DUMMYFUNCTION("""COMPUTED_VALUE"""),935.0)</f>
        <v>935</v>
      </c>
      <c r="C57" s="28" t="str">
        <f>IFERROR(__xludf.DUMMYFUNCTION("""COMPUTED_VALUE"""),"Money In")</f>
        <v>Money In</v>
      </c>
      <c r="D57" s="28" t="str">
        <f>IFERROR(__xludf.DUMMYFUNCTION("""COMPUTED_VALUE"""),"Revenue")</f>
        <v>Revenue</v>
      </c>
      <c r="E57" s="28" t="str">
        <f>IFERROR(__xludf.DUMMYFUNCTION("""COMPUTED_VALUE"""),"deplomacyMall")</f>
        <v>deplomacyMall</v>
      </c>
      <c r="F57" s="28"/>
      <c r="G57" s="28">
        <v>935.0</v>
      </c>
      <c r="H57" s="28" t="s">
        <v>135</v>
      </c>
      <c r="J57" s="28" t="s">
        <v>135</v>
      </c>
    </row>
    <row r="58">
      <c r="A58" s="112">
        <f>IFERROR(__xludf.DUMMYFUNCTION("""COMPUTED_VALUE"""),45625.0)</f>
        <v>45625</v>
      </c>
      <c r="B58" s="113">
        <f>IFERROR(__xludf.DUMMYFUNCTION("""COMPUTED_VALUE"""),836.0)</f>
        <v>836</v>
      </c>
      <c r="C58" s="28" t="str">
        <f>IFERROR(__xludf.DUMMYFUNCTION("""COMPUTED_VALUE"""),"Money In")</f>
        <v>Money In</v>
      </c>
      <c r="D58" s="28" t="str">
        <f>IFERROR(__xludf.DUMMYFUNCTION("""COMPUTED_VALUE"""),"Revenue")</f>
        <v>Revenue</v>
      </c>
      <c r="E58" s="28" t="str">
        <f>IFERROR(__xludf.DUMMYFUNCTION("""COMPUTED_VALUE"""),"deplomacyMall")</f>
        <v>deplomacyMall</v>
      </c>
      <c r="F58" s="28"/>
      <c r="G58" s="28">
        <v>836.0</v>
      </c>
      <c r="H58" s="28" t="s">
        <v>135</v>
      </c>
      <c r="J58" s="28" t="s">
        <v>135</v>
      </c>
    </row>
    <row r="59">
      <c r="A59" s="112">
        <f>IFERROR(__xludf.DUMMYFUNCTION("""COMPUTED_VALUE"""),45625.0)</f>
        <v>45625</v>
      </c>
      <c r="B59" s="113">
        <f>IFERROR(__xludf.DUMMYFUNCTION("""COMPUTED_VALUE"""),70.0)</f>
        <v>70</v>
      </c>
      <c r="C59" s="28" t="str">
        <f>IFERROR(__xludf.DUMMYFUNCTION("""COMPUTED_VALUE"""),"Money Out")</f>
        <v>Money Out</v>
      </c>
      <c r="D59" s="28"/>
      <c r="E59" s="28"/>
      <c r="F59" s="28" t="str">
        <f>IFERROR(__xludf.DUMMYFUNCTION("""COMPUTED_VALUE"""),"ارجاع شحن (change box, motherboard)")</f>
        <v>ارجاع شحن (change box, motherboard)</v>
      </c>
      <c r="G59" s="28">
        <v>-70.0</v>
      </c>
      <c r="H59" s="28" t="s">
        <v>146</v>
      </c>
      <c r="J59" s="28" t="s">
        <v>146</v>
      </c>
    </row>
    <row r="60">
      <c r="A60" s="112">
        <f>IFERROR(__xludf.DUMMYFUNCTION("""COMPUTED_VALUE"""),45625.0)</f>
        <v>45625</v>
      </c>
      <c r="B60" s="113">
        <f>IFERROR(__xludf.DUMMYFUNCTION("""COMPUTED_VALUE"""),65.0)</f>
        <v>65</v>
      </c>
      <c r="C60" s="28" t="str">
        <f>IFERROR(__xludf.DUMMYFUNCTION("""COMPUTED_VALUE"""),"Money Out")</f>
        <v>Money Out</v>
      </c>
      <c r="D60" s="28" t="str">
        <f>IFERROR(__xludf.DUMMYFUNCTION("""COMPUTED_VALUE"""),"Product Restocking")</f>
        <v>Product Restocking</v>
      </c>
      <c r="E60" s="28"/>
      <c r="F60" s="28" t="str">
        <f>IFERROR(__xludf.DUMMYFUNCTION("""COMPUTED_VALUE"""),"بضاعه من محل لجنب دبلوماسي")</f>
        <v>بضاعه من محل لجنب دبلوماسي</v>
      </c>
      <c r="G60" s="28">
        <v>-65.0</v>
      </c>
      <c r="H60" s="28" t="s">
        <v>134</v>
      </c>
      <c r="J60" s="28" t="s">
        <v>134</v>
      </c>
    </row>
    <row r="61">
      <c r="A61" s="112">
        <f>IFERROR(__xludf.DUMMYFUNCTION("""COMPUTED_VALUE"""),45626.0)</f>
        <v>45626</v>
      </c>
      <c r="B61" s="113">
        <f>IFERROR(__xludf.DUMMYFUNCTION("""COMPUTED_VALUE"""),1029.0)</f>
        <v>1029</v>
      </c>
      <c r="C61" s="28" t="str">
        <f>IFERROR(__xludf.DUMMYFUNCTION("""COMPUTED_VALUE"""),"Money Out")</f>
        <v>Money Out</v>
      </c>
      <c r="D61" s="28" t="str">
        <f>IFERROR(__xludf.DUMMYFUNCTION("""COMPUTED_VALUE"""),"Product Restocking")</f>
        <v>Product Restocking</v>
      </c>
      <c r="E61" s="28"/>
      <c r="F61" s="28"/>
      <c r="G61" s="28">
        <v>-1029.0</v>
      </c>
      <c r="H61" s="28" t="s">
        <v>134</v>
      </c>
      <c r="J61" s="28" t="s">
        <v>134</v>
      </c>
    </row>
    <row r="62">
      <c r="A62" s="112">
        <f>IFERROR(__xludf.DUMMYFUNCTION("""COMPUTED_VALUE"""),45629.0)</f>
        <v>45629</v>
      </c>
      <c r="B62" s="113">
        <f>IFERROR(__xludf.DUMMYFUNCTION("""COMPUTED_VALUE"""),50.0)</f>
        <v>50</v>
      </c>
      <c r="C62" s="28" t="str">
        <f>IFERROR(__xludf.DUMMYFUNCTION("""COMPUTED_VALUE"""),"Money Out")</f>
        <v>Money Out</v>
      </c>
      <c r="D62" s="28"/>
      <c r="E62" s="28"/>
      <c r="F62" s="28" t="str">
        <f>IFERROR(__xludf.DUMMYFUNCTION("""COMPUTED_VALUE"""),"اجار فوركه لتحريك المكينه ")</f>
        <v>اجار فوركه لتحريك المكينه </v>
      </c>
      <c r="G62" s="28">
        <v>-50.0</v>
      </c>
      <c r="H62" s="28" t="s">
        <v>146</v>
      </c>
      <c r="J62" s="28" t="s">
        <v>146</v>
      </c>
    </row>
    <row r="63">
      <c r="A63" s="112">
        <f>IFERROR(__xludf.DUMMYFUNCTION("""COMPUTED_VALUE"""),45631.0)</f>
        <v>45631</v>
      </c>
      <c r="B63" s="113">
        <f>IFERROR(__xludf.DUMMYFUNCTION("""COMPUTED_VALUE"""),850.0)</f>
        <v>850</v>
      </c>
      <c r="C63" s="28" t="str">
        <f>IFERROR(__xludf.DUMMYFUNCTION("""COMPUTED_VALUE"""),"Money Out")</f>
        <v>Money Out</v>
      </c>
      <c r="D63" s="28" t="str">
        <f>IFERROR(__xludf.DUMMYFUNCTION("""COMPUTED_VALUE"""),"Product Restocking")</f>
        <v>Product Restocking</v>
      </c>
      <c r="E63" s="28"/>
      <c r="F63" s="28" t="str">
        <f>IFERROR(__xludf.DUMMYFUNCTION("""COMPUTED_VALUE"""),"بضاعه من المتحده والمحل لديما ناخد منه")</f>
        <v>بضاعه من المتحده والمحل لديما ناخد منه</v>
      </c>
      <c r="G63" s="28">
        <v>-850.0</v>
      </c>
      <c r="H63" s="28" t="s">
        <v>134</v>
      </c>
      <c r="J63" s="28" t="s">
        <v>134</v>
      </c>
    </row>
    <row r="64">
      <c r="A64" s="112">
        <f>IFERROR(__xludf.DUMMYFUNCTION("""COMPUTED_VALUE"""),45627.0)</f>
        <v>45627</v>
      </c>
      <c r="B64" s="113">
        <f>IFERROR(__xludf.DUMMYFUNCTION("""COMPUTED_VALUE"""),1800.0)</f>
        <v>1800</v>
      </c>
      <c r="C64" s="28" t="str">
        <f>IFERROR(__xludf.DUMMYFUNCTION("""COMPUTED_VALUE"""),"Money In")</f>
        <v>Money In</v>
      </c>
      <c r="D64" s="28"/>
      <c r="E64" s="28"/>
      <c r="F64" s="28" t="str">
        <f>IFERROR(__xludf.DUMMYFUNCTION("""COMPUTED_VALUE"""),"تمت تسوية سعر الماكينه مع تيسير")</f>
        <v>تمت تسوية سعر الماكينه مع تيسير</v>
      </c>
      <c r="G64" s="28">
        <v>1800.0</v>
      </c>
      <c r="H64" s="28" t="s">
        <v>146</v>
      </c>
      <c r="J64" s="28" t="s">
        <v>146</v>
      </c>
    </row>
    <row r="65">
      <c r="A65" s="112">
        <f>IFERROR(__xludf.DUMMYFUNCTION("""COMPUTED_VALUE"""),45635.0)</f>
        <v>45635</v>
      </c>
      <c r="B65" s="113">
        <f>IFERROR(__xludf.DUMMYFUNCTION("""COMPUTED_VALUE"""),1111.0)</f>
        <v>1111</v>
      </c>
      <c r="C65" s="28" t="str">
        <f>IFERROR(__xludf.DUMMYFUNCTION("""COMPUTED_VALUE"""),"Money In")</f>
        <v>Money In</v>
      </c>
      <c r="D65" s="28" t="str">
        <f>IFERROR(__xludf.DUMMYFUNCTION("""COMPUTED_VALUE"""),"Revenue")</f>
        <v>Revenue</v>
      </c>
      <c r="E65" s="28" t="str">
        <f>IFERROR(__xludf.DUMMYFUNCTION("""COMPUTED_VALUE"""),"deplomacyMall")</f>
        <v>deplomacyMall</v>
      </c>
      <c r="F65" s="28"/>
      <c r="G65" s="28">
        <v>1111.0</v>
      </c>
      <c r="H65" s="28" t="s">
        <v>135</v>
      </c>
      <c r="J65" s="28" t="s">
        <v>135</v>
      </c>
    </row>
    <row r="66">
      <c r="A66" s="112">
        <f>IFERROR(__xludf.DUMMYFUNCTION("""COMPUTED_VALUE"""),45636.0)</f>
        <v>45636</v>
      </c>
      <c r="B66" s="113">
        <f>IFERROR(__xludf.DUMMYFUNCTION("""COMPUTED_VALUE"""),455.0)</f>
        <v>455</v>
      </c>
      <c r="C66" s="28" t="str">
        <f>IFERROR(__xludf.DUMMYFUNCTION("""COMPUTED_VALUE"""),"Money Out")</f>
        <v>Money Out</v>
      </c>
      <c r="D66" s="28"/>
      <c r="E66" s="28"/>
      <c r="F66" s="114" t="str">
        <f>IFERROR(__xludf.DUMMYFUNCTION("""COMPUTED_VALUE"""),"فواتير")</f>
        <v>فواتير</v>
      </c>
      <c r="G66" s="28">
        <v>-455.0</v>
      </c>
      <c r="H66" s="28" t="s">
        <v>146</v>
      </c>
      <c r="J66" s="28" t="s">
        <v>146</v>
      </c>
    </row>
    <row r="67">
      <c r="A67" s="112">
        <f>IFERROR(__xludf.DUMMYFUNCTION("""COMPUTED_VALUE"""),45637.0)</f>
        <v>45637</v>
      </c>
      <c r="B67" s="113">
        <f>IFERROR(__xludf.DUMMYFUNCTION("""COMPUTED_VALUE"""),9000.0)</f>
        <v>9000</v>
      </c>
      <c r="C67" s="28" t="str">
        <f>IFERROR(__xludf.DUMMYFUNCTION("""COMPUTED_VALUE"""),"Money In")</f>
        <v>Money In</v>
      </c>
      <c r="D67" s="28"/>
      <c r="E67" s="28"/>
      <c r="F67" s="28" t="str">
        <f>IFERROR(__xludf.DUMMYFUNCTION("""COMPUTED_VALUE"""),"سحبت فلوس الايداع لفتح شركه")</f>
        <v>سحبت فلوس الايداع لفتح شركه</v>
      </c>
      <c r="G67" s="28">
        <v>9000.0</v>
      </c>
      <c r="H67" s="28" t="s">
        <v>146</v>
      </c>
      <c r="J67" s="28" t="s">
        <v>146</v>
      </c>
    </row>
    <row r="68">
      <c r="A68" s="112">
        <f>IFERROR(__xludf.DUMMYFUNCTION("""COMPUTED_VALUE"""),45640.0)</f>
        <v>45640</v>
      </c>
      <c r="B68" s="113">
        <f>IFERROR(__xludf.DUMMYFUNCTION("""COMPUTED_VALUE"""),980.0)</f>
        <v>980</v>
      </c>
      <c r="C68" s="28" t="str">
        <f>IFERROR(__xludf.DUMMYFUNCTION("""COMPUTED_VALUE"""),"Money In")</f>
        <v>Money In</v>
      </c>
      <c r="D68" s="28" t="str">
        <f>IFERROR(__xludf.DUMMYFUNCTION("""COMPUTED_VALUE"""),"Revenue")</f>
        <v>Revenue</v>
      </c>
      <c r="E68" s="28" t="str">
        <f>IFERROR(__xludf.DUMMYFUNCTION("""COMPUTED_VALUE"""),"deplomacyMall")</f>
        <v>deplomacyMall</v>
      </c>
      <c r="F68" s="28"/>
      <c r="G68" s="28">
        <v>980.0</v>
      </c>
      <c r="H68" s="28" t="s">
        <v>135</v>
      </c>
      <c r="J68" s="28" t="s">
        <v>135</v>
      </c>
    </row>
    <row r="69">
      <c r="A69" s="112">
        <f>IFERROR(__xludf.DUMMYFUNCTION("""COMPUTED_VALUE"""),45641.0)</f>
        <v>45641</v>
      </c>
      <c r="B69" s="113">
        <f>IFERROR(__xludf.DUMMYFUNCTION("""COMPUTED_VALUE"""),2500.0)</f>
        <v>2500</v>
      </c>
      <c r="C69" s="28" t="str">
        <f>IFERROR(__xludf.DUMMYFUNCTION("""COMPUTED_VALUE"""),"Money In")</f>
        <v>Money In</v>
      </c>
      <c r="D69" s="28" t="str">
        <f>IFERROR(__xludf.DUMMYFUNCTION("""COMPUTED_VALUE"""),"ads")</f>
        <v>ads</v>
      </c>
      <c r="E69" s="28"/>
      <c r="F69" s="28" t="str">
        <f>IFERROR(__xludf.DUMMYFUNCTION("""COMPUTED_VALUE"""),"توربو من نص 12 الى نص 3")</f>
        <v>توربو من نص 12 الى نص 3</v>
      </c>
      <c r="G69" s="28">
        <v>2500.0</v>
      </c>
      <c r="H69" s="28" t="s">
        <v>135</v>
      </c>
      <c r="J69" s="28" t="s">
        <v>135</v>
      </c>
    </row>
    <row r="70">
      <c r="A70" s="112">
        <f>IFERROR(__xludf.DUMMYFUNCTION("""COMPUTED_VALUE"""),45643.0)</f>
        <v>45643</v>
      </c>
      <c r="B70" s="113">
        <f>IFERROR(__xludf.DUMMYFUNCTION("""COMPUTED_VALUE"""),1097.0)</f>
        <v>1097</v>
      </c>
      <c r="C70" s="28" t="str">
        <f>IFERROR(__xludf.DUMMYFUNCTION("""COMPUTED_VALUE"""),"Money Out")</f>
        <v>Money Out</v>
      </c>
      <c r="D70" s="28" t="str">
        <f>IFERROR(__xludf.DUMMYFUNCTION("""COMPUTED_VALUE"""),"Product Restocking")</f>
        <v>Product Restocking</v>
      </c>
      <c r="E70" s="28"/>
      <c r="F70" s="28"/>
      <c r="G70" s="28">
        <v>-1097.0</v>
      </c>
      <c r="H70" s="28" t="s">
        <v>134</v>
      </c>
      <c r="J70" s="28" t="s">
        <v>134</v>
      </c>
    </row>
    <row r="71">
      <c r="A71" s="112">
        <f>IFERROR(__xludf.DUMMYFUNCTION("""COMPUTED_VALUE"""),45645.0)</f>
        <v>45645</v>
      </c>
      <c r="B71" s="113">
        <f>IFERROR(__xludf.DUMMYFUNCTION("""COMPUTED_VALUE"""),1600.0)</f>
        <v>1600</v>
      </c>
      <c r="C71" s="28" t="str">
        <f>IFERROR(__xludf.DUMMYFUNCTION("""COMPUTED_VALUE"""),"Money In")</f>
        <v>Money In</v>
      </c>
      <c r="D71" s="28" t="str">
        <f>IFERROR(__xludf.DUMMYFUNCTION("""COMPUTED_VALUE"""),"Revenue")</f>
        <v>Revenue</v>
      </c>
      <c r="E71" s="28" t="str">
        <f>IFERROR(__xludf.DUMMYFUNCTION("""COMPUTED_VALUE"""),"deplomacyMall")</f>
        <v>deplomacyMall</v>
      </c>
      <c r="F71" s="28"/>
      <c r="G71" s="28">
        <v>1600.0</v>
      </c>
      <c r="H71" s="28" t="s">
        <v>135</v>
      </c>
      <c r="J71" s="28" t="s">
        <v>135</v>
      </c>
    </row>
    <row r="72">
      <c r="A72" s="112">
        <f>IFERROR(__xludf.DUMMYFUNCTION("""COMPUTED_VALUE"""),45645.0)</f>
        <v>45645</v>
      </c>
      <c r="B72" s="113">
        <f>IFERROR(__xludf.DUMMYFUNCTION("""COMPUTED_VALUE"""),1223.0)</f>
        <v>1223</v>
      </c>
      <c r="C72" s="28" t="str">
        <f>IFERROR(__xludf.DUMMYFUNCTION("""COMPUTED_VALUE"""),"Money Out")</f>
        <v>Money Out</v>
      </c>
      <c r="D72" s="28" t="str">
        <f>IFERROR(__xludf.DUMMYFUNCTION("""COMPUTED_VALUE"""),"Product Restocking")</f>
        <v>Product Restocking</v>
      </c>
      <c r="E72" s="28"/>
      <c r="F72" s="28"/>
      <c r="G72" s="28">
        <v>-1223.0</v>
      </c>
      <c r="H72" s="28" t="s">
        <v>134</v>
      </c>
      <c r="J72" s="28" t="s">
        <v>134</v>
      </c>
    </row>
    <row r="73">
      <c r="A73" s="112">
        <f>IFERROR(__xludf.DUMMYFUNCTION("""COMPUTED_VALUE"""),45648.0)</f>
        <v>45648</v>
      </c>
      <c r="B73" s="113">
        <f>IFERROR(__xludf.DUMMYFUNCTION("""COMPUTED_VALUE"""),1140.0)</f>
        <v>1140</v>
      </c>
      <c r="C73" s="28" t="str">
        <f>IFERROR(__xludf.DUMMYFUNCTION("""COMPUTED_VALUE"""),"Money In")</f>
        <v>Money In</v>
      </c>
      <c r="D73" s="28" t="str">
        <f>IFERROR(__xludf.DUMMYFUNCTION("""COMPUTED_VALUE"""),"Revenue")</f>
        <v>Revenue</v>
      </c>
      <c r="E73" s="28" t="str">
        <f>IFERROR(__xludf.DUMMYFUNCTION("""COMPUTED_VALUE"""),"deplomacyMall")</f>
        <v>deplomacyMall</v>
      </c>
      <c r="F73" s="28"/>
      <c r="G73" s="28">
        <v>1140.0</v>
      </c>
      <c r="H73" s="28" t="s">
        <v>135</v>
      </c>
      <c r="J73" s="28" t="s">
        <v>135</v>
      </c>
    </row>
    <row r="74">
      <c r="A74" s="112">
        <f>IFERROR(__xludf.DUMMYFUNCTION("""COMPUTED_VALUE"""),45654.0)</f>
        <v>45654</v>
      </c>
      <c r="B74" s="113">
        <f>IFERROR(__xludf.DUMMYFUNCTION("""COMPUTED_VALUE"""),150.0)</f>
        <v>150</v>
      </c>
      <c r="C74" s="28" t="str">
        <f>IFERROR(__xludf.DUMMYFUNCTION("""COMPUTED_VALUE"""),"Money Out")</f>
        <v>Money Out</v>
      </c>
      <c r="D74" s="28"/>
      <c r="E74" s="28"/>
      <c r="F74" s="28" t="str">
        <f>IFERROR(__xludf.DUMMYFUNCTION("""COMPUTED_VALUE"""),"الى دعاء المصممه")</f>
        <v>الى دعاء المصممه</v>
      </c>
      <c r="G74" s="28">
        <v>-150.0</v>
      </c>
      <c r="H74" s="28" t="s">
        <v>146</v>
      </c>
      <c r="J74" s="28" t="s">
        <v>146</v>
      </c>
    </row>
    <row r="75">
      <c r="A75" s="112">
        <f>IFERROR(__xludf.DUMMYFUNCTION("""COMPUTED_VALUE"""),45654.0)</f>
        <v>45654</v>
      </c>
      <c r="B75" s="113">
        <f>IFERROR(__xludf.DUMMYFUNCTION("""COMPUTED_VALUE"""),60.0)</f>
        <v>60</v>
      </c>
      <c r="C75" s="28" t="str">
        <f>IFERROR(__xludf.DUMMYFUNCTION("""COMPUTED_VALUE"""),"Money Out")</f>
        <v>Money Out</v>
      </c>
      <c r="D75" s="28"/>
      <c r="E75" s="28"/>
      <c r="F75" s="28" t="str">
        <f>IFERROR(__xludf.DUMMYFUNCTION("""COMPUTED_VALUE"""),"طباعة الستكر لعصير البرتقال")</f>
        <v>طباعة الستكر لعصير البرتقال</v>
      </c>
      <c r="G75" s="28">
        <v>-60.0</v>
      </c>
      <c r="H75" s="28" t="s">
        <v>146</v>
      </c>
      <c r="J75" s="28" t="s">
        <v>146</v>
      </c>
    </row>
    <row r="76">
      <c r="A76" s="112">
        <f>IFERROR(__xludf.DUMMYFUNCTION("""COMPUTED_VALUE"""),45659.0)</f>
        <v>45659</v>
      </c>
      <c r="B76" s="113">
        <f>IFERROR(__xludf.DUMMYFUNCTION("""COMPUTED_VALUE"""),1047.0)</f>
        <v>1047</v>
      </c>
      <c r="C76" s="28" t="str">
        <f>IFERROR(__xludf.DUMMYFUNCTION("""COMPUTED_VALUE"""),"Money In")</f>
        <v>Money In</v>
      </c>
      <c r="D76" s="28" t="str">
        <f>IFERROR(__xludf.DUMMYFUNCTION("""COMPUTED_VALUE"""),"Revenue")</f>
        <v>Revenue</v>
      </c>
      <c r="E76" s="28" t="str">
        <f>IFERROR(__xludf.DUMMYFUNCTION("""COMPUTED_VALUE"""),"deplomacyMall")</f>
        <v>deplomacyMall</v>
      </c>
      <c r="F76" s="28"/>
      <c r="G76" s="28">
        <v>1047.0</v>
      </c>
      <c r="H76" s="28" t="s">
        <v>135</v>
      </c>
      <c r="J76" s="28" t="s">
        <v>135</v>
      </c>
    </row>
    <row r="77">
      <c r="A77" s="112">
        <f>IFERROR(__xludf.DUMMYFUNCTION("""COMPUTED_VALUE"""),45659.0)</f>
        <v>45659</v>
      </c>
      <c r="B77" s="113">
        <f>IFERROR(__xludf.DUMMYFUNCTION("""COMPUTED_VALUE"""),769.0)</f>
        <v>769</v>
      </c>
      <c r="C77" s="28" t="str">
        <f>IFERROR(__xludf.DUMMYFUNCTION("""COMPUTED_VALUE"""),"Money Out")</f>
        <v>Money Out</v>
      </c>
      <c r="D77" s="28" t="str">
        <f>IFERROR(__xludf.DUMMYFUNCTION("""COMPUTED_VALUE"""),"Product Restocking")</f>
        <v>Product Restocking</v>
      </c>
      <c r="E77" s="28"/>
      <c r="F77" s="28"/>
      <c r="G77" s="28">
        <v>-769.0</v>
      </c>
      <c r="H77" s="28" t="s">
        <v>134</v>
      </c>
      <c r="J77" s="28" t="s">
        <v>134</v>
      </c>
    </row>
    <row r="78">
      <c r="A78" s="112">
        <f>IFERROR(__xludf.DUMMYFUNCTION("""COMPUTED_VALUE"""),45662.0)</f>
        <v>45662</v>
      </c>
      <c r="B78" s="113">
        <f>IFERROR(__xludf.DUMMYFUNCTION("""COMPUTED_VALUE"""),1189.0)</f>
        <v>1189</v>
      </c>
      <c r="C78" s="28" t="str">
        <f>IFERROR(__xludf.DUMMYFUNCTION("""COMPUTED_VALUE"""),"Money In")</f>
        <v>Money In</v>
      </c>
      <c r="D78" s="28" t="str">
        <f>IFERROR(__xludf.DUMMYFUNCTION("""COMPUTED_VALUE"""),"Revenue")</f>
        <v>Revenue</v>
      </c>
      <c r="E78" s="28" t="str">
        <f>IFERROR(__xludf.DUMMYFUNCTION("""COMPUTED_VALUE"""),"deplomacyMall")</f>
        <v>deplomacyMall</v>
      </c>
      <c r="F78" s="28"/>
      <c r="G78" s="28">
        <v>1189.0</v>
      </c>
      <c r="H78" s="28" t="s">
        <v>135</v>
      </c>
      <c r="J78" s="28" t="s">
        <v>135</v>
      </c>
    </row>
    <row r="79">
      <c r="A79" s="112">
        <f>IFERROR(__xludf.DUMMYFUNCTION("""COMPUTED_VALUE"""),45662.0)</f>
        <v>45662</v>
      </c>
      <c r="B79" s="113">
        <f>IFERROR(__xludf.DUMMYFUNCTION("""COMPUTED_VALUE"""),221.0)</f>
        <v>221</v>
      </c>
      <c r="C79" s="28" t="str">
        <f>IFERROR(__xludf.DUMMYFUNCTION("""COMPUTED_VALUE"""),"Money Out")</f>
        <v>Money Out</v>
      </c>
      <c r="D79" s="28" t="str">
        <f>IFERROR(__xludf.DUMMYFUNCTION("""COMPUTED_VALUE"""),"Product Restocking")</f>
        <v>Product Restocking</v>
      </c>
      <c r="E79" s="28"/>
      <c r="F79" s="28"/>
      <c r="G79" s="28">
        <v>-221.0</v>
      </c>
      <c r="H79" s="28" t="s">
        <v>134</v>
      </c>
      <c r="J79" s="28" t="s">
        <v>134</v>
      </c>
    </row>
    <row r="80">
      <c r="A80" s="112">
        <f>IFERROR(__xludf.DUMMYFUNCTION("""COMPUTED_VALUE"""),45663.0)</f>
        <v>45663</v>
      </c>
      <c r="B80" s="113">
        <f>IFERROR(__xludf.DUMMYFUNCTION("""COMPUTED_VALUE"""),640.0)</f>
        <v>640</v>
      </c>
      <c r="C80" s="28" t="str">
        <f>IFERROR(__xludf.DUMMYFUNCTION("""COMPUTED_VALUE"""),"Money Out")</f>
        <v>Money Out</v>
      </c>
      <c r="D80" s="28" t="str">
        <f>IFERROR(__xludf.DUMMYFUNCTION("""COMPUTED_VALUE"""),"Product Restocking")</f>
        <v>Product Restocking</v>
      </c>
      <c r="E80" s="28"/>
      <c r="F80" s="28"/>
      <c r="G80" s="28">
        <v>-640.0</v>
      </c>
      <c r="H80" s="28" t="s">
        <v>134</v>
      </c>
      <c r="J80" s="28" t="s">
        <v>134</v>
      </c>
    </row>
    <row r="81">
      <c r="A81" s="112">
        <f>IFERROR(__xludf.DUMMYFUNCTION("""COMPUTED_VALUE"""),45665.0)</f>
        <v>45665</v>
      </c>
      <c r="B81" s="113">
        <f>IFERROR(__xludf.DUMMYFUNCTION("""COMPUTED_VALUE"""),782.0)</f>
        <v>782</v>
      </c>
      <c r="C81" s="28" t="str">
        <f>IFERROR(__xludf.DUMMYFUNCTION("""COMPUTED_VALUE"""),"Money Out")</f>
        <v>Money Out</v>
      </c>
      <c r="D81" s="28" t="str">
        <f>IFERROR(__xludf.DUMMYFUNCTION("""COMPUTED_VALUE"""),"Product Restocking")</f>
        <v>Product Restocking</v>
      </c>
      <c r="E81" s="28"/>
      <c r="F81" s="28"/>
      <c r="G81" s="28">
        <v>-782.0</v>
      </c>
      <c r="H81" s="28" t="s">
        <v>134</v>
      </c>
      <c r="J81" s="28" t="s">
        <v>134</v>
      </c>
    </row>
    <row r="82">
      <c r="A82" s="112">
        <f>IFERROR(__xludf.DUMMYFUNCTION("""COMPUTED_VALUE"""),45665.0)</f>
        <v>45665</v>
      </c>
      <c r="B82" s="113">
        <f>IFERROR(__xludf.DUMMYFUNCTION("""COMPUTED_VALUE"""),1768.0)</f>
        <v>1768</v>
      </c>
      <c r="C82" s="28" t="str">
        <f>IFERROR(__xludf.DUMMYFUNCTION("""COMPUTED_VALUE"""),"Money In")</f>
        <v>Money In</v>
      </c>
      <c r="D82" s="28" t="str">
        <f>IFERROR(__xludf.DUMMYFUNCTION("""COMPUTED_VALUE"""),"Revenue")</f>
        <v>Revenue</v>
      </c>
      <c r="E82" s="28" t="str">
        <f>IFERROR(__xludf.DUMMYFUNCTION("""COMPUTED_VALUE"""),"deplomacyMall")</f>
        <v>deplomacyMall</v>
      </c>
      <c r="F82" s="28"/>
      <c r="G82" s="28">
        <v>1768.0</v>
      </c>
      <c r="H82" s="28" t="s">
        <v>135</v>
      </c>
      <c r="J82" s="28" t="s">
        <v>135</v>
      </c>
    </row>
    <row r="83">
      <c r="A83" s="112">
        <f>IFERROR(__xludf.DUMMYFUNCTION("""COMPUTED_VALUE"""),45666.0)</f>
        <v>45666</v>
      </c>
      <c r="B83" s="113">
        <f>IFERROR(__xludf.DUMMYFUNCTION("""COMPUTED_VALUE"""),1206.0)</f>
        <v>1206</v>
      </c>
      <c r="C83" s="28" t="str">
        <f>IFERROR(__xludf.DUMMYFUNCTION("""COMPUTED_VALUE"""),"Money Out")</f>
        <v>Money Out</v>
      </c>
      <c r="D83" s="28" t="str">
        <f>IFERROR(__xludf.DUMMYFUNCTION("""COMPUTED_VALUE"""),"Product Restocking")</f>
        <v>Product Restocking</v>
      </c>
      <c r="E83" s="28"/>
      <c r="F83" s="28"/>
      <c r="G83" s="28">
        <v>-1206.0</v>
      </c>
      <c r="H83" s="28" t="s">
        <v>134</v>
      </c>
      <c r="J83" s="28" t="s">
        <v>134</v>
      </c>
    </row>
    <row r="84">
      <c r="A84" s="112">
        <f>IFERROR(__xludf.DUMMYFUNCTION("""COMPUTED_VALUE"""),45666.0)</f>
        <v>45666</v>
      </c>
      <c r="B84" s="113">
        <f>IFERROR(__xludf.DUMMYFUNCTION("""COMPUTED_VALUE"""),1947.0)</f>
        <v>1947</v>
      </c>
      <c r="C84" s="28" t="str">
        <f>IFERROR(__xludf.DUMMYFUNCTION("""COMPUTED_VALUE"""),"Money In")</f>
        <v>Money In</v>
      </c>
      <c r="D84" s="28" t="str">
        <f>IFERROR(__xludf.DUMMYFUNCTION("""COMPUTED_VALUE"""),"Revenue")</f>
        <v>Revenue</v>
      </c>
      <c r="E84" s="28" t="str">
        <f>IFERROR(__xludf.DUMMYFUNCTION("""COMPUTED_VALUE"""),"deplomacyMall")</f>
        <v>deplomacyMall</v>
      </c>
      <c r="F84" s="28"/>
      <c r="G84" s="28">
        <v>1947.0</v>
      </c>
      <c r="H84" s="28" t="s">
        <v>135</v>
      </c>
      <c r="J84" s="28" t="s">
        <v>135</v>
      </c>
    </row>
    <row r="85">
      <c r="A85" s="112">
        <f>IFERROR(__xludf.DUMMYFUNCTION("""COMPUTED_VALUE"""),45668.0)</f>
        <v>45668</v>
      </c>
      <c r="B85" s="113">
        <f>IFERROR(__xludf.DUMMYFUNCTION("""COMPUTED_VALUE"""),1191.0)</f>
        <v>1191</v>
      </c>
      <c r="C85" s="28" t="str">
        <f>IFERROR(__xludf.DUMMYFUNCTION("""COMPUTED_VALUE"""),"Money In")</f>
        <v>Money In</v>
      </c>
      <c r="D85" s="28" t="str">
        <f>IFERROR(__xludf.DUMMYFUNCTION("""COMPUTED_VALUE"""),"Revenue")</f>
        <v>Revenue</v>
      </c>
      <c r="E85" s="28" t="str">
        <f>IFERROR(__xludf.DUMMYFUNCTION("""COMPUTED_VALUE"""),"deplomacyMall")</f>
        <v>deplomacyMall</v>
      </c>
      <c r="F85" s="28"/>
      <c r="G85" s="28">
        <v>1191.0</v>
      </c>
      <c r="H85" s="28" t="s">
        <v>135</v>
      </c>
      <c r="J85" s="28" t="s">
        <v>135</v>
      </c>
    </row>
    <row r="86">
      <c r="A86" s="112">
        <f>IFERROR(__xludf.DUMMYFUNCTION("""COMPUTED_VALUE"""),45668.0)</f>
        <v>45668</v>
      </c>
      <c r="B86" s="113">
        <f>IFERROR(__xludf.DUMMYFUNCTION("""COMPUTED_VALUE"""),525.0)</f>
        <v>525</v>
      </c>
      <c r="C86" s="28" t="str">
        <f>IFERROR(__xludf.DUMMYFUNCTION("""COMPUTED_VALUE"""),"Money Out")</f>
        <v>Money Out</v>
      </c>
      <c r="D86" s="28" t="str">
        <f>IFERROR(__xludf.DUMMYFUNCTION("""COMPUTED_VALUE"""),"Product Restocking")</f>
        <v>Product Restocking</v>
      </c>
      <c r="E86" s="28"/>
      <c r="F86" s="28"/>
      <c r="G86" s="28">
        <v>-525.0</v>
      </c>
      <c r="H86" s="28" t="s">
        <v>134</v>
      </c>
      <c r="J86" s="28" t="s">
        <v>134</v>
      </c>
    </row>
    <row r="87">
      <c r="A87" s="112">
        <f>IFERROR(__xludf.DUMMYFUNCTION("""COMPUTED_VALUE"""),45667.0)</f>
        <v>45667</v>
      </c>
      <c r="B87" s="113">
        <f>IFERROR(__xludf.DUMMYFUNCTION("""COMPUTED_VALUE"""),31.0)</f>
        <v>31</v>
      </c>
      <c r="C87" s="28" t="str">
        <f>IFERROR(__xludf.DUMMYFUNCTION("""COMPUTED_VALUE"""),"Money Out")</f>
        <v>Money Out</v>
      </c>
      <c r="D87" s="28" t="str">
        <f>IFERROR(__xludf.DUMMYFUNCTION("""COMPUTED_VALUE"""),"Product Restocking")</f>
        <v>Product Restocking</v>
      </c>
      <c r="E87" s="28"/>
      <c r="F87" s="28"/>
      <c r="G87" s="28">
        <v>-31.0</v>
      </c>
      <c r="H87" s="28" t="s">
        <v>134</v>
      </c>
      <c r="J87" s="28" t="s">
        <v>134</v>
      </c>
    </row>
    <row r="88">
      <c r="A88" s="112">
        <f>IFERROR(__xludf.DUMMYFUNCTION("""COMPUTED_VALUE"""),45671.0)</f>
        <v>45671</v>
      </c>
      <c r="B88" s="113">
        <f>IFERROR(__xludf.DUMMYFUNCTION("""COMPUTED_VALUE"""),8217.0)</f>
        <v>8217</v>
      </c>
      <c r="C88" s="28" t="str">
        <f>IFERROR(__xludf.DUMMYFUNCTION("""COMPUTED_VALUE"""),"Money Out")</f>
        <v>Money Out</v>
      </c>
      <c r="D88" s="28" t="str">
        <f>IFERROR(__xludf.DUMMYFUNCTION("""COMPUTED_VALUE"""),"to snacky")</f>
        <v>to snacky</v>
      </c>
      <c r="E88" s="28"/>
      <c r="F88" s="28" t="str">
        <f>IFERROR(__xludf.DUMMYFUNCTION("""COMPUTED_VALUE"""),"لشراء ماكينات")</f>
        <v>لشراء ماكينات</v>
      </c>
      <c r="G88" s="28">
        <v>-8217.0</v>
      </c>
      <c r="H88" s="28" t="s">
        <v>146</v>
      </c>
      <c r="J88" s="28" t="s">
        <v>146</v>
      </c>
    </row>
    <row r="89">
      <c r="A89" s="112">
        <f>IFERROR(__xludf.DUMMYFUNCTION("""COMPUTED_VALUE"""),45671.0)</f>
        <v>45671</v>
      </c>
      <c r="B89" s="113">
        <f>IFERROR(__xludf.DUMMYFUNCTION("""COMPUTED_VALUE"""),13000.0)</f>
        <v>13000</v>
      </c>
      <c r="C89" s="28" t="str">
        <f>IFERROR(__xludf.DUMMYFUNCTION("""COMPUTED_VALUE"""),"Money Out")</f>
        <v>Money Out</v>
      </c>
      <c r="D89" s="28"/>
      <c r="E89" s="28"/>
      <c r="F89" s="28" t="str">
        <f>IFERROR(__xludf.DUMMYFUNCTION("""COMPUTED_VALUE"""),"دفع قيمة 21,217 دينار لشراء عدد اثنان مكينات")</f>
        <v>دفع قيمة 21,217 دينار لشراء عدد اثنان مكينات</v>
      </c>
      <c r="G89" s="28">
        <v>-13000.0</v>
      </c>
      <c r="H89" s="28" t="s">
        <v>146</v>
      </c>
      <c r="J89" s="28" t="s">
        <v>146</v>
      </c>
    </row>
    <row r="90">
      <c r="A90" s="112">
        <f>IFERROR(__xludf.DUMMYFUNCTION("""COMPUTED_VALUE"""),45673.0)</f>
        <v>45673</v>
      </c>
      <c r="B90" s="113">
        <f>IFERROR(__xludf.DUMMYFUNCTION("""COMPUTED_VALUE"""),448.0)</f>
        <v>448</v>
      </c>
      <c r="C90" s="28" t="str">
        <f>IFERROR(__xludf.DUMMYFUNCTION("""COMPUTED_VALUE"""),"Money Out")</f>
        <v>Money Out</v>
      </c>
      <c r="D90" s="28" t="str">
        <f>IFERROR(__xludf.DUMMYFUNCTION("""COMPUTED_VALUE"""),"Product Restocking")</f>
        <v>Product Restocking</v>
      </c>
      <c r="E90" s="28"/>
      <c r="F90" s="28"/>
      <c r="G90" s="28">
        <v>-448.0</v>
      </c>
      <c r="H90" s="28" t="s">
        <v>134</v>
      </c>
      <c r="J90" s="28" t="s">
        <v>134</v>
      </c>
    </row>
    <row r="91">
      <c r="A91" s="112">
        <f>IFERROR(__xludf.DUMMYFUNCTION("""COMPUTED_VALUE"""),45679.0)</f>
        <v>45679</v>
      </c>
      <c r="B91" s="113">
        <f>IFERROR(__xludf.DUMMYFUNCTION("""COMPUTED_VALUE"""),70.0)</f>
        <v>70</v>
      </c>
      <c r="C91" s="28" t="str">
        <f>IFERROR(__xludf.DUMMYFUNCTION("""COMPUTED_VALUE"""),"Money Out")</f>
        <v>Money Out</v>
      </c>
      <c r="D91" s="28" t="str">
        <f>IFERROR(__xludf.DUMMYFUNCTION("""COMPUTED_VALUE"""),"shipping")</f>
        <v>shipping</v>
      </c>
      <c r="E91" s="28"/>
      <c r="F91" s="28" t="str">
        <f>IFERROR(__xludf.DUMMYFUNCTION("""COMPUTED_VALUE"""),"توصيل change box من شاهين")</f>
        <v>توصيل change box من شاهين</v>
      </c>
      <c r="G91" s="28">
        <v>-70.0</v>
      </c>
      <c r="H91" s="28" t="s">
        <v>146</v>
      </c>
      <c r="J91" s="28" t="s">
        <v>146</v>
      </c>
    </row>
    <row r="92">
      <c r="A92" s="112">
        <f>IFERROR(__xludf.DUMMYFUNCTION("""COMPUTED_VALUE"""),45681.0)</f>
        <v>45681</v>
      </c>
      <c r="B92" s="113">
        <f>IFERROR(__xludf.DUMMYFUNCTION("""COMPUTED_VALUE"""),693.0)</f>
        <v>693</v>
      </c>
      <c r="C92" s="28" t="str">
        <f>IFERROR(__xludf.DUMMYFUNCTION("""COMPUTED_VALUE"""),"Money In")</f>
        <v>Money In</v>
      </c>
      <c r="D92" s="28" t="str">
        <f>IFERROR(__xludf.DUMMYFUNCTION("""COMPUTED_VALUE"""),"Revenue")</f>
        <v>Revenue</v>
      </c>
      <c r="E92" s="28" t="str">
        <f>IFERROR(__xludf.DUMMYFUNCTION("""COMPUTED_VALUE"""),"deplomacyMall")</f>
        <v>deplomacyMall</v>
      </c>
      <c r="F92" s="28"/>
      <c r="G92" s="28">
        <v>693.0</v>
      </c>
      <c r="H92" s="28" t="s">
        <v>135</v>
      </c>
      <c r="J92" s="28" t="s">
        <v>135</v>
      </c>
    </row>
    <row r="93">
      <c r="A93" s="112">
        <f>IFERROR(__xludf.DUMMYFUNCTION("""COMPUTED_VALUE"""),45682.0)</f>
        <v>45682</v>
      </c>
      <c r="B93" s="113">
        <f>IFERROR(__xludf.DUMMYFUNCTION("""COMPUTED_VALUE"""),559.0)</f>
        <v>559</v>
      </c>
      <c r="C93" s="28" t="str">
        <f>IFERROR(__xludf.DUMMYFUNCTION("""COMPUTED_VALUE"""),"Money Out")</f>
        <v>Money Out</v>
      </c>
      <c r="D93" s="28" t="str">
        <f>IFERROR(__xludf.DUMMYFUNCTION("""COMPUTED_VALUE"""),"Product Restocking")</f>
        <v>Product Restocking</v>
      </c>
      <c r="E93" s="28"/>
      <c r="F93" s="28"/>
      <c r="G93" s="28">
        <v>-559.0</v>
      </c>
      <c r="H93" s="28" t="s">
        <v>134</v>
      </c>
      <c r="J93" s="28" t="s">
        <v>134</v>
      </c>
    </row>
    <row r="94">
      <c r="A94" s="112">
        <f>IFERROR(__xludf.DUMMYFUNCTION("""COMPUTED_VALUE"""),45683.0)</f>
        <v>45683</v>
      </c>
      <c r="B94" s="113">
        <f>IFERROR(__xludf.DUMMYFUNCTION("""COMPUTED_VALUE"""),453.0)</f>
        <v>453</v>
      </c>
      <c r="C94" s="28" t="str">
        <f>IFERROR(__xludf.DUMMYFUNCTION("""COMPUTED_VALUE"""),"Money In")</f>
        <v>Money In</v>
      </c>
      <c r="D94" s="28" t="str">
        <f>IFERROR(__xludf.DUMMYFUNCTION("""COMPUTED_VALUE"""),"Revenue")</f>
        <v>Revenue</v>
      </c>
      <c r="E94" s="28" t="str">
        <f>IFERROR(__xludf.DUMMYFUNCTION("""COMPUTED_VALUE"""),"deplomacyMall")</f>
        <v>deplomacyMall</v>
      </c>
      <c r="F94" s="28"/>
      <c r="G94" s="28">
        <v>453.0</v>
      </c>
      <c r="H94" s="28" t="s">
        <v>135</v>
      </c>
      <c r="J94" s="28" t="s">
        <v>135</v>
      </c>
    </row>
    <row r="95">
      <c r="A95" s="112">
        <f>IFERROR(__xludf.DUMMYFUNCTION("""COMPUTED_VALUE"""),45689.0)</f>
        <v>45689</v>
      </c>
      <c r="B95" s="113">
        <f>IFERROR(__xludf.DUMMYFUNCTION("""COMPUTED_VALUE"""),491.0)</f>
        <v>491</v>
      </c>
      <c r="C95" s="28" t="str">
        <f>IFERROR(__xludf.DUMMYFUNCTION("""COMPUTED_VALUE"""),"Money Out")</f>
        <v>Money Out</v>
      </c>
      <c r="D95" s="28" t="str">
        <f>IFERROR(__xludf.DUMMYFUNCTION("""COMPUTED_VALUE"""),"Product Restocking")</f>
        <v>Product Restocking</v>
      </c>
      <c r="E95" s="28"/>
      <c r="F95" s="28"/>
      <c r="G95" s="28">
        <v>-491.0</v>
      </c>
      <c r="H95" s="28" t="s">
        <v>134</v>
      </c>
      <c r="J95" s="28" t="s">
        <v>134</v>
      </c>
    </row>
    <row r="96">
      <c r="A96" s="112">
        <f>IFERROR(__xludf.DUMMYFUNCTION("""COMPUTED_VALUE"""),45692.0)</f>
        <v>45692</v>
      </c>
      <c r="B96" s="113">
        <f>IFERROR(__xludf.DUMMYFUNCTION("""COMPUTED_VALUE"""),1240.0)</f>
        <v>1240</v>
      </c>
      <c r="C96" s="28" t="str">
        <f>IFERROR(__xludf.DUMMYFUNCTION("""COMPUTED_VALUE"""),"Money In")</f>
        <v>Money In</v>
      </c>
      <c r="D96" s="28" t="str">
        <f>IFERROR(__xludf.DUMMYFUNCTION("""COMPUTED_VALUE"""),"Revenue")</f>
        <v>Revenue</v>
      </c>
      <c r="E96" s="28" t="str">
        <f>IFERROR(__xludf.DUMMYFUNCTION("""COMPUTED_VALUE"""),"deplomacyMall")</f>
        <v>deplomacyMall</v>
      </c>
      <c r="F96" s="28"/>
      <c r="G96" s="28">
        <v>1240.0</v>
      </c>
      <c r="H96" s="28" t="s">
        <v>135</v>
      </c>
      <c r="J96" s="28" t="s">
        <v>135</v>
      </c>
    </row>
    <row r="97">
      <c r="A97" s="112">
        <f>IFERROR(__xludf.DUMMYFUNCTION("""COMPUTED_VALUE"""),45694.0)</f>
        <v>45694</v>
      </c>
      <c r="B97" s="113">
        <f>IFERROR(__xludf.DUMMYFUNCTION("""COMPUTED_VALUE"""),357.0)</f>
        <v>357</v>
      </c>
      <c r="C97" s="28" t="str">
        <f>IFERROR(__xludf.DUMMYFUNCTION("""COMPUTED_VALUE"""),"Money Out")</f>
        <v>Money Out</v>
      </c>
      <c r="D97" s="28" t="str">
        <f>IFERROR(__xludf.DUMMYFUNCTION("""COMPUTED_VALUE"""),"Product Restocking")</f>
        <v>Product Restocking</v>
      </c>
      <c r="E97" s="28"/>
      <c r="F97" s="28"/>
      <c r="G97" s="28">
        <v>-357.0</v>
      </c>
      <c r="H97" s="28" t="s">
        <v>134</v>
      </c>
      <c r="J97" s="28" t="s">
        <v>134</v>
      </c>
    </row>
    <row r="98">
      <c r="A98" s="112">
        <f>IFERROR(__xludf.DUMMYFUNCTION("""COMPUTED_VALUE"""),45701.0)</f>
        <v>45701</v>
      </c>
      <c r="B98" s="113">
        <f>IFERROR(__xludf.DUMMYFUNCTION("""COMPUTED_VALUE"""),1809.0)</f>
        <v>1809</v>
      </c>
      <c r="C98" s="28" t="str">
        <f>IFERROR(__xludf.DUMMYFUNCTION("""COMPUTED_VALUE"""),"Money In")</f>
        <v>Money In</v>
      </c>
      <c r="D98" s="28" t="str">
        <f>IFERROR(__xludf.DUMMYFUNCTION("""COMPUTED_VALUE"""),"Revenue")</f>
        <v>Revenue</v>
      </c>
      <c r="E98" s="28" t="str">
        <f>IFERROR(__xludf.DUMMYFUNCTION("""COMPUTED_VALUE"""),"deplomacyMall")</f>
        <v>deplomacyMall</v>
      </c>
      <c r="F98" s="28"/>
      <c r="G98" s="28">
        <v>1809.0</v>
      </c>
      <c r="H98" s="28" t="s">
        <v>135</v>
      </c>
      <c r="J98" s="28" t="s">
        <v>135</v>
      </c>
    </row>
    <row r="99">
      <c r="A99" s="112">
        <f>IFERROR(__xludf.DUMMYFUNCTION("""COMPUTED_VALUE"""),45701.0)</f>
        <v>45701</v>
      </c>
      <c r="B99" s="113">
        <f>IFERROR(__xludf.DUMMYFUNCTION("""COMPUTED_VALUE"""),548.0)</f>
        <v>548</v>
      </c>
      <c r="C99" s="28" t="str">
        <f>IFERROR(__xludf.DUMMYFUNCTION("""COMPUTED_VALUE"""),"Money Out")</f>
        <v>Money Out</v>
      </c>
      <c r="D99" s="28"/>
      <c r="E99" s="28"/>
      <c r="F99" s="28"/>
      <c r="G99" s="28">
        <v>-548.0</v>
      </c>
      <c r="H99" s="28" t="s">
        <v>146</v>
      </c>
      <c r="J99" s="28" t="s">
        <v>146</v>
      </c>
    </row>
    <row r="100">
      <c r="A100" s="112">
        <f>IFERROR(__xludf.DUMMYFUNCTION("""COMPUTED_VALUE"""),45703.0)</f>
        <v>45703</v>
      </c>
      <c r="B100" s="113">
        <f>IFERROR(__xludf.DUMMYFUNCTION("""COMPUTED_VALUE"""),1381.0)</f>
        <v>1381</v>
      </c>
      <c r="C100" s="28" t="str">
        <f>IFERROR(__xludf.DUMMYFUNCTION("""COMPUTED_VALUE"""),"Money In")</f>
        <v>Money In</v>
      </c>
      <c r="D100" s="28" t="str">
        <f>IFERROR(__xludf.DUMMYFUNCTION("""COMPUTED_VALUE"""),"Revenue")</f>
        <v>Revenue</v>
      </c>
      <c r="E100" s="28" t="str">
        <f>IFERROR(__xludf.DUMMYFUNCTION("""COMPUTED_VALUE"""),"deplomacyMall")</f>
        <v>deplomacyMall</v>
      </c>
      <c r="F100" s="28"/>
      <c r="G100" s="28">
        <v>1381.0</v>
      </c>
      <c r="H100" s="28" t="s">
        <v>135</v>
      </c>
      <c r="J100" s="28" t="s">
        <v>135</v>
      </c>
    </row>
    <row r="101">
      <c r="A101" s="112">
        <f>IFERROR(__xludf.DUMMYFUNCTION("""COMPUTED_VALUE"""),45703.0)</f>
        <v>45703</v>
      </c>
      <c r="B101" s="113">
        <f>IFERROR(__xludf.DUMMYFUNCTION("""COMPUTED_VALUE"""),756.0)</f>
        <v>756</v>
      </c>
      <c r="C101" s="28" t="str">
        <f>IFERROR(__xludf.DUMMYFUNCTION("""COMPUTED_VALUE"""),"Money Out")</f>
        <v>Money Out</v>
      </c>
      <c r="D101" s="28" t="str">
        <f>IFERROR(__xludf.DUMMYFUNCTION("""COMPUTED_VALUE"""),"Product Restocking")</f>
        <v>Product Restocking</v>
      </c>
      <c r="E101" s="28"/>
      <c r="F101" s="28"/>
      <c r="G101" s="28">
        <v>-756.0</v>
      </c>
      <c r="H101" s="28" t="s">
        <v>134</v>
      </c>
      <c r="J101" s="28" t="s">
        <v>134</v>
      </c>
    </row>
    <row r="102">
      <c r="A102" s="112">
        <f>IFERROR(__xludf.DUMMYFUNCTION("""COMPUTED_VALUE"""),45703.0)</f>
        <v>45703</v>
      </c>
      <c r="B102" s="113">
        <f>IFERROR(__xludf.DUMMYFUNCTION("""COMPUTED_VALUE"""),150.0)</f>
        <v>150</v>
      </c>
      <c r="C102" s="28" t="str">
        <f>IFERROR(__xludf.DUMMYFUNCTION("""COMPUTED_VALUE"""),"Money Out")</f>
        <v>Money Out</v>
      </c>
      <c r="D102" s="28"/>
      <c r="E102" s="28"/>
      <c r="F102" s="28"/>
      <c r="G102" s="28">
        <v>-150.0</v>
      </c>
      <c r="H102" s="28" t="s">
        <v>146</v>
      </c>
      <c r="J102" s="28" t="s">
        <v>146</v>
      </c>
    </row>
    <row r="103">
      <c r="A103" s="112">
        <f>IFERROR(__xludf.DUMMYFUNCTION("""COMPUTED_VALUE"""),45703.0)</f>
        <v>45703</v>
      </c>
      <c r="B103" s="113">
        <f>IFERROR(__xludf.DUMMYFUNCTION("""COMPUTED_VALUE"""),335.0)</f>
        <v>335</v>
      </c>
      <c r="C103" s="28" t="str">
        <f>IFERROR(__xludf.DUMMYFUNCTION("""COMPUTED_VALUE"""),"Money Out")</f>
        <v>Money Out</v>
      </c>
      <c r="D103" s="28" t="str">
        <f>IFERROR(__xludf.DUMMYFUNCTION("""COMPUTED_VALUE"""),"Anas")</f>
        <v>Anas</v>
      </c>
      <c r="E103" s="28"/>
      <c r="F103" s="28" t="str">
        <f>IFERROR(__xludf.DUMMYFUNCTION("""COMPUTED_VALUE"""),"ارجاع بعض القيمه اللتي تمت دفعها في البضاعه")</f>
        <v>ارجاع بعض القيمه اللتي تمت دفعها في البضاعه</v>
      </c>
      <c r="G103" s="28">
        <v>-335.0</v>
      </c>
      <c r="H103" s="28" t="s">
        <v>139</v>
      </c>
      <c r="J103" s="28" t="s">
        <v>139</v>
      </c>
    </row>
    <row r="104">
      <c r="A104" s="112">
        <f>IFERROR(__xludf.DUMMYFUNCTION("""COMPUTED_VALUE"""),45703.0)</f>
        <v>45703</v>
      </c>
      <c r="B104" s="113">
        <f>IFERROR(__xludf.DUMMYFUNCTION("""COMPUTED_VALUE"""),335.0)</f>
        <v>335</v>
      </c>
      <c r="C104" s="28" t="str">
        <f>IFERROR(__xludf.DUMMYFUNCTION("""COMPUTED_VALUE"""),"Money In")</f>
        <v>Money In</v>
      </c>
      <c r="D104" s="28" t="str">
        <f>IFERROR(__xludf.DUMMYFUNCTION("""COMPUTED_VALUE"""),"from snacky")</f>
        <v>from snacky</v>
      </c>
      <c r="E104" s="28"/>
      <c r="F104" s="28"/>
      <c r="G104" s="28">
        <v>335.0</v>
      </c>
      <c r="H104" s="28" t="s">
        <v>146</v>
      </c>
      <c r="J104" s="28" t="s">
        <v>146</v>
      </c>
    </row>
    <row r="105">
      <c r="A105" s="112">
        <f>IFERROR(__xludf.DUMMYFUNCTION("""COMPUTED_VALUE"""),45703.0)</f>
        <v>45703</v>
      </c>
      <c r="B105" s="113">
        <f>IFERROR(__xludf.DUMMYFUNCTION("""COMPUTED_VALUE"""),147.0)</f>
        <v>147</v>
      </c>
      <c r="C105" s="28" t="str">
        <f>IFERROR(__xludf.DUMMYFUNCTION("""COMPUTED_VALUE"""),"Money Out")</f>
        <v>Money Out</v>
      </c>
      <c r="D105" s="28"/>
      <c r="E105" s="28"/>
      <c r="F105" s="28" t="str">
        <f>IFERROR(__xludf.DUMMYFUNCTION("""COMPUTED_VALUE"""),"تعديل ميزانيه")</f>
        <v>تعديل ميزانيه</v>
      </c>
      <c r="G105" s="28">
        <v>-147.0</v>
      </c>
      <c r="H105" s="28" t="s">
        <v>146</v>
      </c>
      <c r="J105" s="28" t="s">
        <v>146</v>
      </c>
    </row>
    <row r="106">
      <c r="A106" s="112">
        <f>IFERROR(__xludf.DUMMYFUNCTION("""COMPUTED_VALUE"""),45704.0)</f>
        <v>45704</v>
      </c>
      <c r="B106" s="113">
        <f>IFERROR(__xludf.DUMMYFUNCTION("""COMPUTED_VALUE"""),321.0)</f>
        <v>321</v>
      </c>
      <c r="C106" s="28" t="str">
        <f>IFERROR(__xludf.DUMMYFUNCTION("""COMPUTED_VALUE"""),"Money Out")</f>
        <v>Money Out</v>
      </c>
      <c r="D106" s="28" t="str">
        <f>IFERROR(__xludf.DUMMYFUNCTION("""COMPUTED_VALUE"""),"Product Restocking")</f>
        <v>Product Restocking</v>
      </c>
      <c r="E106" s="28"/>
      <c r="F106" s="28"/>
      <c r="G106" s="28">
        <v>-321.0</v>
      </c>
      <c r="H106" s="28" t="s">
        <v>134</v>
      </c>
      <c r="J106" s="28" t="s">
        <v>134</v>
      </c>
    </row>
    <row r="107">
      <c r="A107" s="112">
        <f>IFERROR(__xludf.DUMMYFUNCTION("""COMPUTED_VALUE"""),45707.0)</f>
        <v>45707</v>
      </c>
      <c r="B107" s="113">
        <f>IFERROR(__xludf.DUMMYFUNCTION("""COMPUTED_VALUE"""),448.0)</f>
        <v>448</v>
      </c>
      <c r="C107" s="28" t="str">
        <f>IFERROR(__xludf.DUMMYFUNCTION("""COMPUTED_VALUE"""),"Money Out")</f>
        <v>Money Out</v>
      </c>
      <c r="D107" s="28" t="str">
        <f>IFERROR(__xludf.DUMMYFUNCTION("""COMPUTED_VALUE"""),"Product Restocking")</f>
        <v>Product Restocking</v>
      </c>
      <c r="E107" s="28"/>
      <c r="F107" s="28"/>
      <c r="G107" s="28">
        <v>-448.0</v>
      </c>
      <c r="H107" s="28" t="s">
        <v>134</v>
      </c>
      <c r="J107" s="28" t="s">
        <v>134</v>
      </c>
    </row>
    <row r="108">
      <c r="A108" s="112">
        <f>IFERROR(__xludf.DUMMYFUNCTION("""COMPUTED_VALUE"""),45707.0)</f>
        <v>45707</v>
      </c>
      <c r="B108" s="113">
        <f>IFERROR(__xludf.DUMMYFUNCTION("""COMPUTED_VALUE"""),1345.0)</f>
        <v>1345</v>
      </c>
      <c r="C108" s="28" t="str">
        <f>IFERROR(__xludf.DUMMYFUNCTION("""COMPUTED_VALUE"""),"Money In")</f>
        <v>Money In</v>
      </c>
      <c r="D108" s="28" t="str">
        <f>IFERROR(__xludf.DUMMYFUNCTION("""COMPUTED_VALUE"""),"Revenue")</f>
        <v>Revenue</v>
      </c>
      <c r="E108" s="28" t="str">
        <f>IFERROR(__xludf.DUMMYFUNCTION("""COMPUTED_VALUE"""),"deplomacyMall")</f>
        <v>deplomacyMall</v>
      </c>
      <c r="F108" s="28"/>
      <c r="G108" s="28">
        <v>1345.0</v>
      </c>
      <c r="H108" s="28" t="s">
        <v>135</v>
      </c>
      <c r="J108" s="28" t="s">
        <v>135</v>
      </c>
    </row>
    <row r="109">
      <c r="A109" s="112">
        <f>IFERROR(__xludf.DUMMYFUNCTION("""COMPUTED_VALUE"""),45707.0)</f>
        <v>45707</v>
      </c>
      <c r="B109" s="113">
        <f>IFERROR(__xludf.DUMMYFUNCTION("""COMPUTED_VALUE"""),1000.0)</f>
        <v>1000</v>
      </c>
      <c r="C109" s="28" t="str">
        <f>IFERROR(__xludf.DUMMYFUNCTION("""COMPUTED_VALUE"""),"Money Out")</f>
        <v>Money Out</v>
      </c>
      <c r="D109" s="28" t="str">
        <f>IFERROR(__xludf.DUMMYFUNCTION("""COMPUTED_VALUE"""),"Rent")</f>
        <v>Rent</v>
      </c>
      <c r="E109" s="28"/>
      <c r="F109" s="28" t="str">
        <f>IFERROR(__xludf.DUMMYFUNCTION("""COMPUTED_VALUE"""),"ايجار الدبلوماسي شهر 11 و 12")</f>
        <v>ايجار الدبلوماسي شهر 11 و 12</v>
      </c>
      <c r="G109" s="28">
        <v>-1000.0</v>
      </c>
      <c r="H109" s="28" t="s">
        <v>137</v>
      </c>
      <c r="J109" s="28" t="s">
        <v>137</v>
      </c>
    </row>
    <row r="110">
      <c r="A110" s="112">
        <f>IFERROR(__xludf.DUMMYFUNCTION("""COMPUTED_VALUE"""),45708.0)</f>
        <v>45708</v>
      </c>
      <c r="B110" s="113">
        <f>IFERROR(__xludf.DUMMYFUNCTION("""COMPUTED_VALUE"""),589.0)</f>
        <v>589</v>
      </c>
      <c r="C110" s="28" t="str">
        <f>IFERROR(__xludf.DUMMYFUNCTION("""COMPUTED_VALUE"""),"Money Out")</f>
        <v>Money Out</v>
      </c>
      <c r="D110" s="28" t="str">
        <f>IFERROR(__xludf.DUMMYFUNCTION("""COMPUTED_VALUE"""),"Product Restocking")</f>
        <v>Product Restocking</v>
      </c>
      <c r="E110" s="28"/>
      <c r="F110" s="28"/>
      <c r="G110" s="28">
        <v>-589.0</v>
      </c>
      <c r="H110" s="28" t="s">
        <v>134</v>
      </c>
      <c r="J110" s="28" t="s">
        <v>134</v>
      </c>
    </row>
    <row r="111">
      <c r="A111" s="112">
        <f>IFERROR(__xludf.DUMMYFUNCTION("""COMPUTED_VALUE"""),45714.0)</f>
        <v>45714</v>
      </c>
      <c r="B111" s="113">
        <f>IFERROR(__xludf.DUMMYFUNCTION("""COMPUTED_VALUE"""),619.0)</f>
        <v>619</v>
      </c>
      <c r="C111" s="28" t="str">
        <f>IFERROR(__xludf.DUMMYFUNCTION("""COMPUTED_VALUE"""),"Money Out")</f>
        <v>Money Out</v>
      </c>
      <c r="D111" s="28" t="str">
        <f>IFERROR(__xludf.DUMMYFUNCTION("""COMPUTED_VALUE"""),"Product Restocking")</f>
        <v>Product Restocking</v>
      </c>
      <c r="E111" s="28"/>
      <c r="F111" s="28"/>
      <c r="G111" s="28">
        <v>-619.0</v>
      </c>
      <c r="H111" s="28" t="s">
        <v>134</v>
      </c>
      <c r="J111" s="28" t="s">
        <v>134</v>
      </c>
    </row>
    <row r="112">
      <c r="A112" s="112">
        <f>IFERROR(__xludf.DUMMYFUNCTION("""COMPUTED_VALUE"""),45714.0)</f>
        <v>45714</v>
      </c>
      <c r="B112" s="113">
        <f>IFERROR(__xludf.DUMMYFUNCTION("""COMPUTED_VALUE"""),1705.0)</f>
        <v>1705</v>
      </c>
      <c r="C112" s="28" t="str">
        <f>IFERROR(__xludf.DUMMYFUNCTION("""COMPUTED_VALUE"""),"Money In")</f>
        <v>Money In</v>
      </c>
      <c r="D112" s="28" t="str">
        <f>IFERROR(__xludf.DUMMYFUNCTION("""COMPUTED_VALUE"""),"Revenue")</f>
        <v>Revenue</v>
      </c>
      <c r="E112" s="28" t="str">
        <f>IFERROR(__xludf.DUMMYFUNCTION("""COMPUTED_VALUE"""),"deplomacyMall")</f>
        <v>deplomacyMall</v>
      </c>
      <c r="F112" s="28"/>
      <c r="G112" s="28">
        <v>1705.0</v>
      </c>
      <c r="H112" s="28" t="s">
        <v>135</v>
      </c>
      <c r="J112" s="28" t="s">
        <v>135</v>
      </c>
    </row>
    <row r="113">
      <c r="A113" s="112">
        <f>IFERROR(__xludf.DUMMYFUNCTION("""COMPUTED_VALUE"""),45715.0)</f>
        <v>45715</v>
      </c>
      <c r="B113" s="113">
        <f>IFERROR(__xludf.DUMMYFUNCTION("""COMPUTED_VALUE"""),3174.0)</f>
        <v>3174</v>
      </c>
      <c r="C113" s="28" t="str">
        <f>IFERROR(__xludf.DUMMYFUNCTION("""COMPUTED_VALUE"""),"Money Out")</f>
        <v>Money Out</v>
      </c>
      <c r="D113" s="28" t="str">
        <f>IFERROR(__xludf.DUMMYFUNCTION("""COMPUTED_VALUE"""),"shipping")</f>
        <v>shipping</v>
      </c>
      <c r="E113" s="28"/>
      <c r="F113" s="28" t="str">
        <f>IFERROR(__xludf.DUMMYFUNCTION("""COMPUTED_VALUE"""),"شحن الماكينه التانيه من شاهين")</f>
        <v>شحن الماكينه التانيه من شاهين</v>
      </c>
      <c r="G113" s="28">
        <v>-3174.0</v>
      </c>
      <c r="H113" s="28" t="s">
        <v>146</v>
      </c>
      <c r="J113" s="28" t="s">
        <v>146</v>
      </c>
    </row>
    <row r="114">
      <c r="A114" s="112">
        <f>IFERROR(__xludf.DUMMYFUNCTION("""COMPUTED_VALUE"""),45716.0)</f>
        <v>45716</v>
      </c>
      <c r="B114" s="113">
        <f>IFERROR(__xludf.DUMMYFUNCTION("""COMPUTED_VALUE"""),528.0)</f>
        <v>528</v>
      </c>
      <c r="C114" s="28" t="str">
        <f>IFERROR(__xludf.DUMMYFUNCTION("""COMPUTED_VALUE"""),"Money Out")</f>
        <v>Money Out</v>
      </c>
      <c r="D114" s="28" t="str">
        <f>IFERROR(__xludf.DUMMYFUNCTION("""COMPUTED_VALUE"""),"Product Restocking")</f>
        <v>Product Restocking</v>
      </c>
      <c r="E114" s="28"/>
      <c r="F114" s="28"/>
      <c r="G114" s="28">
        <v>-528.0</v>
      </c>
      <c r="H114" s="28" t="s">
        <v>134</v>
      </c>
      <c r="J114" s="28" t="s">
        <v>134</v>
      </c>
    </row>
    <row r="115">
      <c r="A115" s="112">
        <f>IFERROR(__xludf.DUMMYFUNCTION("""COMPUTED_VALUE"""),45720.0)</f>
        <v>45720</v>
      </c>
      <c r="B115" s="113">
        <f>IFERROR(__xludf.DUMMYFUNCTION("""COMPUTED_VALUE"""),1105.0)</f>
        <v>1105</v>
      </c>
      <c r="C115" s="28" t="str">
        <f>IFERROR(__xludf.DUMMYFUNCTION("""COMPUTED_VALUE"""),"Money Out")</f>
        <v>Money Out</v>
      </c>
      <c r="D115" s="28" t="str">
        <f>IFERROR(__xludf.DUMMYFUNCTION("""COMPUTED_VALUE"""),"Anas")</f>
        <v>Anas</v>
      </c>
      <c r="E115" s="28"/>
      <c r="F115" s="28"/>
      <c r="G115" s="28">
        <v>-1105.0</v>
      </c>
      <c r="H115" s="28" t="s">
        <v>139</v>
      </c>
      <c r="J115" s="28" t="s">
        <v>139</v>
      </c>
    </row>
    <row r="116">
      <c r="A116" s="112">
        <f>IFERROR(__xludf.DUMMYFUNCTION("""COMPUTED_VALUE"""),45720.0)</f>
        <v>45720</v>
      </c>
      <c r="B116" s="113">
        <f>IFERROR(__xludf.DUMMYFUNCTION("""COMPUTED_VALUE"""),1105.0)</f>
        <v>1105</v>
      </c>
      <c r="C116" s="28" t="str">
        <f>IFERROR(__xludf.DUMMYFUNCTION("""COMPUTED_VALUE"""),"Money In")</f>
        <v>Money In</v>
      </c>
      <c r="D116" s="28"/>
      <c r="E116" s="28"/>
      <c r="F116" s="28"/>
      <c r="G116" s="28">
        <v>1105.0</v>
      </c>
      <c r="H116" s="28" t="s">
        <v>146</v>
      </c>
      <c r="J116" s="28" t="s">
        <v>146</v>
      </c>
    </row>
    <row r="117">
      <c r="A117" s="112">
        <f>IFERROR(__xludf.DUMMYFUNCTION("""COMPUTED_VALUE"""),45720.0)</f>
        <v>45720</v>
      </c>
      <c r="B117" s="113">
        <f>IFERROR(__xludf.DUMMYFUNCTION("""COMPUTED_VALUE"""),500.0)</f>
        <v>500</v>
      </c>
      <c r="C117" s="28" t="str">
        <f>IFERROR(__xludf.DUMMYFUNCTION("""COMPUTED_VALUE"""),"Money Out")</f>
        <v>Money Out</v>
      </c>
      <c r="D117" s="28" t="str">
        <f>IFERROR(__xludf.DUMMYFUNCTION("""COMPUTED_VALUE"""),"Rent")</f>
        <v>Rent</v>
      </c>
      <c r="E117" s="28"/>
      <c r="F117" s="28" t="str">
        <f>IFERROR(__xludf.DUMMYFUNCTION("""COMPUTED_VALUE"""),"شهر 3")</f>
        <v>شهر 3</v>
      </c>
      <c r="G117" s="28">
        <v>-500.0</v>
      </c>
      <c r="H117" s="28" t="s">
        <v>137</v>
      </c>
      <c r="J117" s="28" t="s">
        <v>137</v>
      </c>
    </row>
    <row r="118">
      <c r="A118" s="112">
        <f>IFERROR(__xludf.DUMMYFUNCTION("""COMPUTED_VALUE"""),45720.0)</f>
        <v>45720</v>
      </c>
      <c r="B118" s="113">
        <f>IFERROR(__xludf.DUMMYFUNCTION("""COMPUTED_VALUE"""),1500.0)</f>
        <v>1500</v>
      </c>
      <c r="C118" s="28" t="str">
        <f>IFERROR(__xludf.DUMMYFUNCTION("""COMPUTED_VALUE"""),"Money In")</f>
        <v>Money In</v>
      </c>
      <c r="D118" s="28" t="str">
        <f>IFERROR(__xludf.DUMMYFUNCTION("""COMPUTED_VALUE"""),"ads")</f>
        <v>ads</v>
      </c>
      <c r="E118" s="28"/>
      <c r="F118" s="28" t="str">
        <f>IFERROR(__xludf.DUMMYFUNCTION("""COMPUTED_VALUE"""),"نصف قيمة دعايه توربو تلاته اشهر")</f>
        <v>نصف قيمة دعايه توربو تلاته اشهر</v>
      </c>
      <c r="G118" s="28">
        <v>1500.0</v>
      </c>
      <c r="H118" s="28" t="s">
        <v>135</v>
      </c>
      <c r="J118" s="28" t="s">
        <v>135</v>
      </c>
    </row>
    <row r="119">
      <c r="A119" s="112">
        <f>IFERROR(__xludf.DUMMYFUNCTION("""COMPUTED_VALUE"""),45724.0)</f>
        <v>45724</v>
      </c>
      <c r="B119" s="113">
        <f>IFERROR(__xludf.DUMMYFUNCTION("""COMPUTED_VALUE"""),1735.0)</f>
        <v>1735</v>
      </c>
      <c r="C119" s="28" t="str">
        <f>IFERROR(__xludf.DUMMYFUNCTION("""COMPUTED_VALUE"""),"Money In")</f>
        <v>Money In</v>
      </c>
      <c r="D119" s="28" t="str">
        <f>IFERROR(__xludf.DUMMYFUNCTION("""COMPUTED_VALUE"""),"Revenue")</f>
        <v>Revenue</v>
      </c>
      <c r="E119" s="28" t="str">
        <f>IFERROR(__xludf.DUMMYFUNCTION("""COMPUTED_VALUE"""),"deplomacyMall")</f>
        <v>deplomacyMall</v>
      </c>
      <c r="F119" s="28"/>
      <c r="G119" s="28">
        <v>1735.0</v>
      </c>
      <c r="H119" s="28" t="s">
        <v>135</v>
      </c>
      <c r="J119" s="28" t="s">
        <v>135</v>
      </c>
    </row>
    <row r="120">
      <c r="A120" s="112">
        <f>IFERROR(__xludf.DUMMYFUNCTION("""COMPUTED_VALUE"""),45724.0)</f>
        <v>45724</v>
      </c>
      <c r="B120" s="113">
        <f>IFERROR(__xludf.DUMMYFUNCTION("""COMPUTED_VALUE"""),892.0)</f>
        <v>892</v>
      </c>
      <c r="C120" s="28" t="str">
        <f>IFERROR(__xludf.DUMMYFUNCTION("""COMPUTED_VALUE"""),"Money Out")</f>
        <v>Money Out</v>
      </c>
      <c r="D120" s="28" t="str">
        <f>IFERROR(__xludf.DUMMYFUNCTION("""COMPUTED_VALUE"""),"Product Restocking")</f>
        <v>Product Restocking</v>
      </c>
      <c r="E120" s="28"/>
      <c r="F120" s="28"/>
      <c r="G120" s="28">
        <v>-892.0</v>
      </c>
      <c r="H120" s="28" t="s">
        <v>134</v>
      </c>
      <c r="J120" s="28" t="s">
        <v>134</v>
      </c>
    </row>
    <row r="121">
      <c r="A121" s="112">
        <f>IFERROR(__xludf.DUMMYFUNCTION("""COMPUTED_VALUE"""),45724.0)</f>
        <v>45724</v>
      </c>
      <c r="B121" s="113">
        <f>IFERROR(__xludf.DUMMYFUNCTION("""COMPUTED_VALUE"""),200.0)</f>
        <v>200</v>
      </c>
      <c r="C121" s="28" t="str">
        <f>IFERROR(__xludf.DUMMYFUNCTION("""COMPUTED_VALUE"""),"Money Out")</f>
        <v>Money Out</v>
      </c>
      <c r="D121" s="28" t="str">
        <f>IFERROR(__xludf.DUMMYFUNCTION("""COMPUTED_VALUE"""),"Product Restocking")</f>
        <v>Product Restocking</v>
      </c>
      <c r="E121" s="28"/>
      <c r="F121" s="28"/>
      <c r="G121" s="28">
        <v>-200.0</v>
      </c>
      <c r="H121" s="28" t="s">
        <v>134</v>
      </c>
      <c r="J121" s="28" t="s">
        <v>134</v>
      </c>
    </row>
    <row r="122">
      <c r="A122" s="112">
        <f>IFERROR(__xludf.DUMMYFUNCTION("""COMPUTED_VALUE"""),45726.0)</f>
        <v>45726</v>
      </c>
      <c r="B122" s="113">
        <f>IFERROR(__xludf.DUMMYFUNCTION("""COMPUTED_VALUE"""),100.0)</f>
        <v>100</v>
      </c>
      <c r="C122" s="28" t="str">
        <f>IFERROR(__xludf.DUMMYFUNCTION("""COMPUTED_VALUE"""),"Money Out")</f>
        <v>Money Out</v>
      </c>
      <c r="D122" s="28" t="str">
        <f>IFERROR(__xludf.DUMMYFUNCTION("""COMPUTED_VALUE"""),"Anas")</f>
        <v>Anas</v>
      </c>
      <c r="E122" s="28"/>
      <c r="F122" s="28"/>
      <c r="G122" s="28">
        <v>-100.0</v>
      </c>
      <c r="H122" s="28" t="s">
        <v>139</v>
      </c>
      <c r="J122" s="28" t="s">
        <v>139</v>
      </c>
    </row>
    <row r="123">
      <c r="A123" s="112">
        <f>IFERROR(__xludf.DUMMYFUNCTION("""COMPUTED_VALUE"""),45726.0)</f>
        <v>45726</v>
      </c>
      <c r="B123" s="113">
        <f>IFERROR(__xludf.DUMMYFUNCTION("""COMPUTED_VALUE"""),100.0)</f>
        <v>100</v>
      </c>
      <c r="C123" s="28" t="str">
        <f>IFERROR(__xludf.DUMMYFUNCTION("""COMPUTED_VALUE"""),"Money In")</f>
        <v>Money In</v>
      </c>
      <c r="D123" s="28"/>
      <c r="E123" s="28"/>
      <c r="F123" s="28"/>
      <c r="G123" s="28">
        <v>100.0</v>
      </c>
      <c r="H123" s="28" t="s">
        <v>146</v>
      </c>
      <c r="J123" s="28" t="s">
        <v>146</v>
      </c>
    </row>
    <row r="124">
      <c r="A124" s="112">
        <f>IFERROR(__xludf.DUMMYFUNCTION("""COMPUTED_VALUE"""),45727.0)</f>
        <v>45727</v>
      </c>
      <c r="B124" s="113">
        <f>IFERROR(__xludf.DUMMYFUNCTION("""COMPUTED_VALUE"""),20.0)</f>
        <v>20</v>
      </c>
      <c r="C124" s="28" t="str">
        <f>IFERROR(__xludf.DUMMYFUNCTION("""COMPUTED_VALUE"""),"Money Out")</f>
        <v>Money Out</v>
      </c>
      <c r="D124" s="28" t="str">
        <f>IFERROR(__xludf.DUMMYFUNCTION("""COMPUTED_VALUE"""),"Product Restocking")</f>
        <v>Product Restocking</v>
      </c>
      <c r="E124" s="28"/>
      <c r="F124" s="28"/>
      <c r="G124" s="28">
        <v>-20.0</v>
      </c>
      <c r="H124" s="28" t="s">
        <v>134</v>
      </c>
      <c r="J124" s="28" t="s">
        <v>134</v>
      </c>
    </row>
    <row r="125">
      <c r="A125" s="112">
        <f>IFERROR(__xludf.DUMMYFUNCTION("""COMPUTED_VALUE"""),45728.0)</f>
        <v>45728</v>
      </c>
      <c r="B125" s="113">
        <f>IFERROR(__xludf.DUMMYFUNCTION("""COMPUTED_VALUE"""),656.0)</f>
        <v>656</v>
      </c>
      <c r="C125" s="28" t="str">
        <f>IFERROR(__xludf.DUMMYFUNCTION("""COMPUTED_VALUE"""),"Money Out")</f>
        <v>Money Out</v>
      </c>
      <c r="D125" s="28" t="str">
        <f>IFERROR(__xludf.DUMMYFUNCTION("""COMPUTED_VALUE"""),"Product Restocking")</f>
        <v>Product Restocking</v>
      </c>
      <c r="E125" s="28"/>
      <c r="F125" s="28"/>
      <c r="G125" s="28">
        <v>-656.0</v>
      </c>
      <c r="H125" s="28" t="s">
        <v>134</v>
      </c>
      <c r="J125" s="28" t="s">
        <v>134</v>
      </c>
    </row>
    <row r="126">
      <c r="A126" s="112">
        <f>IFERROR(__xludf.DUMMYFUNCTION("""COMPUTED_VALUE"""),45729.0)</f>
        <v>45729</v>
      </c>
      <c r="B126" s="113">
        <f>IFERROR(__xludf.DUMMYFUNCTION("""COMPUTED_VALUE"""),384.0)</f>
        <v>384</v>
      </c>
      <c r="C126" s="28" t="str">
        <f>IFERROR(__xludf.DUMMYFUNCTION("""COMPUTED_VALUE"""),"Money Out")</f>
        <v>Money Out</v>
      </c>
      <c r="D126" s="28" t="str">
        <f>IFERROR(__xludf.DUMMYFUNCTION("""COMPUTED_VALUE"""),"Product Restocking")</f>
        <v>Product Restocking</v>
      </c>
      <c r="E126" s="28"/>
      <c r="F126" s="28"/>
      <c r="G126" s="28">
        <v>-384.0</v>
      </c>
      <c r="H126" s="28" t="s">
        <v>134</v>
      </c>
      <c r="J126" s="28" t="s">
        <v>134</v>
      </c>
    </row>
    <row r="127">
      <c r="A127" s="112">
        <f>IFERROR(__xludf.DUMMYFUNCTION("""COMPUTED_VALUE"""),45730.0)</f>
        <v>45730</v>
      </c>
      <c r="B127" s="113">
        <f>IFERROR(__xludf.DUMMYFUNCTION("""COMPUTED_VALUE"""),277.0)</f>
        <v>277</v>
      </c>
      <c r="C127" s="28" t="str">
        <f>IFERROR(__xludf.DUMMYFUNCTION("""COMPUTED_VALUE"""),"Money Out")</f>
        <v>Money Out</v>
      </c>
      <c r="D127" s="28"/>
      <c r="E127" s="28"/>
      <c r="F127" s="28" t="str">
        <f>IFERROR(__xludf.DUMMYFUNCTION("""COMPUTED_VALUE"""),"تعديل الميزانية")</f>
        <v>تعديل الميزانية</v>
      </c>
      <c r="G127" s="28">
        <v>-277.0</v>
      </c>
      <c r="H127" s="28" t="s">
        <v>146</v>
      </c>
      <c r="J127" s="28" t="s">
        <v>146</v>
      </c>
    </row>
    <row r="128">
      <c r="A128" s="112">
        <f>IFERROR(__xludf.DUMMYFUNCTION("""COMPUTED_VALUE"""),45730.0)</f>
        <v>45730</v>
      </c>
      <c r="B128" s="113">
        <f>IFERROR(__xludf.DUMMYFUNCTION("""COMPUTED_VALUE"""),50.0)</f>
        <v>50</v>
      </c>
      <c r="C128" s="28" t="str">
        <f>IFERROR(__xludf.DUMMYFUNCTION("""COMPUTED_VALUE"""),"Money Out")</f>
        <v>Money Out</v>
      </c>
      <c r="D128" s="28" t="str">
        <f>IFERROR(__xludf.DUMMYFUNCTION("""COMPUTED_VALUE"""),"Anas")</f>
        <v>Anas</v>
      </c>
      <c r="E128" s="28"/>
      <c r="F128" s="28"/>
      <c r="G128" s="28">
        <v>-50.0</v>
      </c>
      <c r="H128" s="28" t="s">
        <v>139</v>
      </c>
      <c r="J128" s="28" t="s">
        <v>139</v>
      </c>
    </row>
    <row r="129">
      <c r="A129" s="112">
        <f>IFERROR(__xludf.DUMMYFUNCTION("""COMPUTED_VALUE"""),45730.0)</f>
        <v>45730</v>
      </c>
      <c r="B129" s="113">
        <f>IFERROR(__xludf.DUMMYFUNCTION("""COMPUTED_VALUE"""),50.0)</f>
        <v>50</v>
      </c>
      <c r="C129" s="28" t="str">
        <f>IFERROR(__xludf.DUMMYFUNCTION("""COMPUTED_VALUE"""),"Money In")</f>
        <v>Money In</v>
      </c>
      <c r="D129" s="28" t="str">
        <f>IFERROR(__xludf.DUMMYFUNCTION("""COMPUTED_VALUE"""),"from snacky")</f>
        <v>from snacky</v>
      </c>
      <c r="E129" s="28"/>
      <c r="F129" s="28"/>
      <c r="G129" s="28">
        <v>50.0</v>
      </c>
      <c r="H129" s="28" t="s">
        <v>146</v>
      </c>
      <c r="J129" s="28" t="s">
        <v>146</v>
      </c>
    </row>
    <row r="130">
      <c r="A130" s="112">
        <f>IFERROR(__xludf.DUMMYFUNCTION("""COMPUTED_VALUE"""),45730.0)</f>
        <v>45730</v>
      </c>
      <c r="B130" s="113">
        <f>IFERROR(__xludf.DUMMYFUNCTION("""COMPUTED_VALUE"""),1852.0)</f>
        <v>1852</v>
      </c>
      <c r="C130" s="28" t="str">
        <f>IFERROR(__xludf.DUMMYFUNCTION("""COMPUTED_VALUE"""),"Money In")</f>
        <v>Money In</v>
      </c>
      <c r="D130" s="28" t="str">
        <f>IFERROR(__xludf.DUMMYFUNCTION("""COMPUTED_VALUE"""),"Revenue")</f>
        <v>Revenue</v>
      </c>
      <c r="E130" s="28" t="str">
        <f>IFERROR(__xludf.DUMMYFUNCTION("""COMPUTED_VALUE"""),"deplomacyMall")</f>
        <v>deplomacyMall</v>
      </c>
      <c r="F130" s="28"/>
      <c r="G130" s="28">
        <v>1852.0</v>
      </c>
      <c r="H130" s="28" t="s">
        <v>135</v>
      </c>
      <c r="J130" s="28" t="s">
        <v>135</v>
      </c>
    </row>
    <row r="131">
      <c r="A131" s="112">
        <f>IFERROR(__xludf.DUMMYFUNCTION("""COMPUTED_VALUE"""),45732.0)</f>
        <v>45732</v>
      </c>
      <c r="B131" s="113">
        <f>IFERROR(__xludf.DUMMYFUNCTION("""COMPUTED_VALUE"""),300.0)</f>
        <v>300</v>
      </c>
      <c r="C131" s="28" t="str">
        <f>IFERROR(__xludf.DUMMYFUNCTION("""COMPUTED_VALUE"""),"Money Out")</f>
        <v>Money Out</v>
      </c>
      <c r="D131" s="28" t="str">
        <f>IFERROR(__xludf.DUMMYFUNCTION("""COMPUTED_VALUE"""),"Product Restocking")</f>
        <v>Product Restocking</v>
      </c>
      <c r="E131" s="28"/>
      <c r="F131" s="28"/>
      <c r="G131" s="28">
        <v>-300.0</v>
      </c>
      <c r="H131" s="28" t="s">
        <v>134</v>
      </c>
      <c r="J131" s="28" t="s">
        <v>134</v>
      </c>
    </row>
    <row r="132">
      <c r="A132" s="112">
        <f>IFERROR(__xludf.DUMMYFUNCTION("""COMPUTED_VALUE"""),45733.0)</f>
        <v>45733</v>
      </c>
      <c r="B132" s="113">
        <f>IFERROR(__xludf.DUMMYFUNCTION("""COMPUTED_VALUE"""),65.0)</f>
        <v>65</v>
      </c>
      <c r="C132" s="28" t="str">
        <f>IFERROR(__xludf.DUMMYFUNCTION("""COMPUTED_VALUE"""),"Money In")</f>
        <v>Money In</v>
      </c>
      <c r="D132" s="28" t="str">
        <f>IFERROR(__xludf.DUMMYFUNCTION("""COMPUTED_VALUE"""),"from snacky")</f>
        <v>from snacky</v>
      </c>
      <c r="E132" s="28"/>
      <c r="F132" s="28"/>
      <c r="G132" s="28">
        <v>65.0</v>
      </c>
      <c r="H132" s="28" t="s">
        <v>146</v>
      </c>
      <c r="J132" s="28" t="s">
        <v>146</v>
      </c>
    </row>
    <row r="133">
      <c r="A133" s="112">
        <f>IFERROR(__xludf.DUMMYFUNCTION("""COMPUTED_VALUE"""),45733.0)</f>
        <v>45733</v>
      </c>
      <c r="B133" s="113">
        <f>IFERROR(__xludf.DUMMYFUNCTION("""COMPUTED_VALUE"""),65.0)</f>
        <v>65</v>
      </c>
      <c r="C133" s="28" t="str">
        <f>IFERROR(__xludf.DUMMYFUNCTION("""COMPUTED_VALUE"""),"Money Out")</f>
        <v>Money Out</v>
      </c>
      <c r="D133" s="28" t="str">
        <f>IFERROR(__xludf.DUMMYFUNCTION("""COMPUTED_VALUE""")," Anas")</f>
        <v> Anas</v>
      </c>
      <c r="E133" s="28"/>
      <c r="F133" s="28"/>
      <c r="G133" s="28">
        <v>-65.0</v>
      </c>
      <c r="H133" s="28" t="s">
        <v>146</v>
      </c>
      <c r="J133" s="28" t="s">
        <v>146</v>
      </c>
    </row>
    <row r="134">
      <c r="A134" s="112">
        <f>IFERROR(__xludf.DUMMYFUNCTION("""COMPUTED_VALUE"""),45733.0)</f>
        <v>45733</v>
      </c>
      <c r="B134" s="113">
        <f>IFERROR(__xludf.DUMMYFUNCTION("""COMPUTED_VALUE"""),429.0)</f>
        <v>429</v>
      </c>
      <c r="C134" s="28" t="str">
        <f>IFERROR(__xludf.DUMMYFUNCTION("""COMPUTED_VALUE"""),"Money Out")</f>
        <v>Money Out</v>
      </c>
      <c r="D134" s="28" t="str">
        <f>IFERROR(__xludf.DUMMYFUNCTION("""COMPUTED_VALUE"""),"Product Restocking")</f>
        <v>Product Restocking</v>
      </c>
      <c r="E134" s="28"/>
      <c r="F134" s="28"/>
      <c r="G134" s="28">
        <v>-429.0</v>
      </c>
      <c r="H134" s="28" t="s">
        <v>134</v>
      </c>
      <c r="J134" s="28" t="s">
        <v>134</v>
      </c>
    </row>
    <row r="135">
      <c r="A135" s="112">
        <f>IFERROR(__xludf.DUMMYFUNCTION("""COMPUTED_VALUE"""),45734.0)</f>
        <v>45734</v>
      </c>
      <c r="B135" s="113">
        <f>IFERROR(__xludf.DUMMYFUNCTION("""COMPUTED_VALUE"""),1434.0)</f>
        <v>1434</v>
      </c>
      <c r="C135" s="28" t="str">
        <f>IFERROR(__xludf.DUMMYFUNCTION("""COMPUTED_VALUE"""),"Money In")</f>
        <v>Money In</v>
      </c>
      <c r="D135" s="28" t="str">
        <f>IFERROR(__xludf.DUMMYFUNCTION("""COMPUTED_VALUE"""),"Revenue")</f>
        <v>Revenue</v>
      </c>
      <c r="E135" s="28" t="str">
        <f>IFERROR(__xludf.DUMMYFUNCTION("""COMPUTED_VALUE"""),"deplomacyMall")</f>
        <v>deplomacyMall</v>
      </c>
      <c r="F135" s="28"/>
      <c r="G135" s="28">
        <v>1434.0</v>
      </c>
      <c r="H135" s="28" t="s">
        <v>135</v>
      </c>
      <c r="J135" s="28" t="s">
        <v>135</v>
      </c>
    </row>
    <row r="136">
      <c r="A136" s="112">
        <f>IFERROR(__xludf.DUMMYFUNCTION("""COMPUTED_VALUE"""),45735.0)</f>
        <v>45735</v>
      </c>
      <c r="B136" s="113">
        <f>IFERROR(__xludf.DUMMYFUNCTION("""COMPUTED_VALUE"""),384.0)</f>
        <v>384</v>
      </c>
      <c r="C136" s="28" t="str">
        <f>IFERROR(__xludf.DUMMYFUNCTION("""COMPUTED_VALUE"""),"Money Out")</f>
        <v>Money Out</v>
      </c>
      <c r="D136" s="28" t="str">
        <f>IFERROR(__xludf.DUMMYFUNCTION("""COMPUTED_VALUE"""),"Product Restocking")</f>
        <v>Product Restocking</v>
      </c>
      <c r="E136" s="28"/>
      <c r="F136" s="28"/>
      <c r="G136" s="28">
        <v>-384.0</v>
      </c>
      <c r="H136" s="28" t="s">
        <v>134</v>
      </c>
      <c r="J136" s="28" t="s">
        <v>134</v>
      </c>
    </row>
    <row r="137">
      <c r="A137" s="112">
        <f>IFERROR(__xludf.DUMMYFUNCTION("""COMPUTED_VALUE"""),45736.0)</f>
        <v>45736</v>
      </c>
      <c r="B137" s="113">
        <f>IFERROR(__xludf.DUMMYFUNCTION("""COMPUTED_VALUE"""),563.0)</f>
        <v>563</v>
      </c>
      <c r="C137" s="28" t="str">
        <f>IFERROR(__xludf.DUMMYFUNCTION("""COMPUTED_VALUE"""),"Money Out")</f>
        <v>Money Out</v>
      </c>
      <c r="D137" s="28" t="str">
        <f>IFERROR(__xludf.DUMMYFUNCTION("""COMPUTED_VALUE"""),"Product Restocking")</f>
        <v>Product Restocking</v>
      </c>
      <c r="E137" s="28"/>
      <c r="F137" s="28"/>
      <c r="G137" s="28">
        <v>-563.0</v>
      </c>
      <c r="H137" s="28" t="s">
        <v>134</v>
      </c>
      <c r="J137" s="28" t="s">
        <v>134</v>
      </c>
    </row>
    <row r="138">
      <c r="A138" s="112">
        <f>IFERROR(__xludf.DUMMYFUNCTION("""COMPUTED_VALUE"""),45738.0)</f>
        <v>45738</v>
      </c>
      <c r="B138" s="113">
        <f>IFERROR(__xludf.DUMMYFUNCTION("""COMPUTED_VALUE"""),245.0)</f>
        <v>245</v>
      </c>
      <c r="C138" s="28" t="str">
        <f>IFERROR(__xludf.DUMMYFUNCTION("""COMPUTED_VALUE"""),"Money Out")</f>
        <v>Money Out</v>
      </c>
      <c r="D138" s="28" t="str">
        <f>IFERROR(__xludf.DUMMYFUNCTION("""COMPUTED_VALUE"""),"Product Restocking")</f>
        <v>Product Restocking</v>
      </c>
      <c r="E138" s="28"/>
      <c r="F138" s="28"/>
      <c r="G138" s="28">
        <v>-245.0</v>
      </c>
      <c r="H138" s="28" t="s">
        <v>134</v>
      </c>
      <c r="J138" s="28" t="s">
        <v>134</v>
      </c>
    </row>
    <row r="139">
      <c r="A139" s="112">
        <f>IFERROR(__xludf.DUMMYFUNCTION("""COMPUTED_VALUE"""),45741.0)</f>
        <v>45741</v>
      </c>
      <c r="B139" s="113">
        <f>IFERROR(__xludf.DUMMYFUNCTION("""COMPUTED_VALUE"""),1350.0)</f>
        <v>1350</v>
      </c>
      <c r="C139" s="28" t="str">
        <f>IFERROR(__xludf.DUMMYFUNCTION("""COMPUTED_VALUE"""),"Money In")</f>
        <v>Money In</v>
      </c>
      <c r="D139" s="28" t="str">
        <f>IFERROR(__xludf.DUMMYFUNCTION("""COMPUTED_VALUE"""),"Revenue")</f>
        <v>Revenue</v>
      </c>
      <c r="E139" s="28" t="str">
        <f>IFERROR(__xludf.DUMMYFUNCTION("""COMPUTED_VALUE"""),"deplomacyMall")</f>
        <v>deplomacyMall</v>
      </c>
      <c r="F139" s="28"/>
      <c r="G139" s="28">
        <v>1350.0</v>
      </c>
      <c r="H139" s="28" t="s">
        <v>135</v>
      </c>
      <c r="J139" s="28" t="s">
        <v>135</v>
      </c>
    </row>
    <row r="140">
      <c r="A140" s="112">
        <f>IFERROR(__xludf.DUMMYFUNCTION("""COMPUTED_VALUE"""),45741.0)</f>
        <v>45741</v>
      </c>
      <c r="B140" s="113">
        <f>IFERROR(__xludf.DUMMYFUNCTION("""COMPUTED_VALUE"""),557.0)</f>
        <v>557</v>
      </c>
      <c r="C140" s="28" t="str">
        <f>IFERROR(__xludf.DUMMYFUNCTION("""COMPUTED_VALUE"""),"Money Out")</f>
        <v>Money Out</v>
      </c>
      <c r="D140" s="28" t="str">
        <f>IFERROR(__xludf.DUMMYFUNCTION("""COMPUTED_VALUE"""),"Product Restocking")</f>
        <v>Product Restocking</v>
      </c>
      <c r="E140" s="28"/>
      <c r="F140" s="28"/>
      <c r="G140" s="28">
        <v>-557.0</v>
      </c>
      <c r="H140" s="28" t="s">
        <v>134</v>
      </c>
      <c r="J140" s="28" t="s">
        <v>134</v>
      </c>
    </row>
    <row r="141">
      <c r="A141" s="112">
        <f>IFERROR(__xludf.DUMMYFUNCTION("""COMPUTED_VALUE"""),45742.0)</f>
        <v>45742</v>
      </c>
      <c r="B141" s="113">
        <f>IFERROR(__xludf.DUMMYFUNCTION("""COMPUTED_VALUE"""),696.0)</f>
        <v>696</v>
      </c>
      <c r="C141" s="28" t="str">
        <f>IFERROR(__xludf.DUMMYFUNCTION("""COMPUTED_VALUE"""),"Money Out")</f>
        <v>Money Out</v>
      </c>
      <c r="D141" s="28" t="str">
        <f>IFERROR(__xludf.DUMMYFUNCTION("""COMPUTED_VALUE"""),"Product Restocking")</f>
        <v>Product Restocking</v>
      </c>
      <c r="E141" s="28"/>
      <c r="F141" s="28"/>
      <c r="G141" s="28">
        <v>-696.0</v>
      </c>
      <c r="H141" s="28" t="s">
        <v>134</v>
      </c>
      <c r="J141" s="28" t="s">
        <v>134</v>
      </c>
    </row>
    <row r="142">
      <c r="A142" s="112">
        <f>IFERROR(__xludf.DUMMYFUNCTION("""COMPUTED_VALUE"""),45744.0)</f>
        <v>45744</v>
      </c>
      <c r="B142" s="113">
        <f>IFERROR(__xludf.DUMMYFUNCTION("""COMPUTED_VALUE"""),1724.0)</f>
        <v>1724</v>
      </c>
      <c r="C142" s="28" t="str">
        <f>IFERROR(__xludf.DUMMYFUNCTION("""COMPUTED_VALUE"""),"Money In")</f>
        <v>Money In</v>
      </c>
      <c r="D142" s="28" t="str">
        <f>IFERROR(__xludf.DUMMYFUNCTION("""COMPUTED_VALUE"""),"Revenue")</f>
        <v>Revenue</v>
      </c>
      <c r="E142" s="28" t="str">
        <f>IFERROR(__xludf.DUMMYFUNCTION("""COMPUTED_VALUE"""),"deplomacyMall")</f>
        <v>deplomacyMall</v>
      </c>
      <c r="F142" s="28"/>
      <c r="G142" s="28">
        <v>1724.0</v>
      </c>
      <c r="H142" s="28" t="s">
        <v>135</v>
      </c>
      <c r="J142" s="28" t="s">
        <v>135</v>
      </c>
    </row>
    <row r="143">
      <c r="A143" s="112">
        <f>IFERROR(__xludf.DUMMYFUNCTION("""COMPUTED_VALUE"""),45745.0)</f>
        <v>45745</v>
      </c>
      <c r="B143" s="113">
        <f>IFERROR(__xludf.DUMMYFUNCTION("""COMPUTED_VALUE"""),205.0)</f>
        <v>205</v>
      </c>
      <c r="C143" s="28" t="str">
        <f>IFERROR(__xludf.DUMMYFUNCTION("""COMPUTED_VALUE"""),"Money Out")</f>
        <v>Money Out</v>
      </c>
      <c r="D143" s="28" t="str">
        <f>IFERROR(__xludf.DUMMYFUNCTION("""COMPUTED_VALUE"""),"Product Restocking")</f>
        <v>Product Restocking</v>
      </c>
      <c r="E143" s="28"/>
      <c r="F143" s="28"/>
      <c r="G143" s="28">
        <v>-205.0</v>
      </c>
      <c r="H143" s="28" t="s">
        <v>134</v>
      </c>
      <c r="J143" s="28" t="s">
        <v>134</v>
      </c>
    </row>
    <row r="144">
      <c r="A144" s="112">
        <f>IFERROR(__xludf.DUMMYFUNCTION("""COMPUTED_VALUE"""),45746.0)</f>
        <v>45746</v>
      </c>
      <c r="B144" s="113">
        <f>IFERROR(__xludf.DUMMYFUNCTION("""COMPUTED_VALUE"""),692.0)</f>
        <v>692</v>
      </c>
      <c r="C144" s="28" t="str">
        <f>IFERROR(__xludf.DUMMYFUNCTION("""COMPUTED_VALUE"""),"Money Out")</f>
        <v>Money Out</v>
      </c>
      <c r="D144" s="28" t="str">
        <f>IFERROR(__xludf.DUMMYFUNCTION("""COMPUTED_VALUE"""),"Product Restocking")</f>
        <v>Product Restocking</v>
      </c>
      <c r="E144" s="28"/>
      <c r="F144" s="28"/>
      <c r="G144" s="28">
        <v>-692.0</v>
      </c>
      <c r="H144" s="28" t="s">
        <v>134</v>
      </c>
      <c r="J144" s="28" t="s">
        <v>134</v>
      </c>
    </row>
    <row r="145">
      <c r="A145" s="112">
        <f>IFERROR(__xludf.DUMMYFUNCTION("""COMPUTED_VALUE"""),45747.0)</f>
        <v>45747</v>
      </c>
      <c r="B145" s="113">
        <f>IFERROR(__xludf.DUMMYFUNCTION("""COMPUTED_VALUE"""),830.0)</f>
        <v>830</v>
      </c>
      <c r="C145" s="28" t="str">
        <f>IFERROR(__xludf.DUMMYFUNCTION("""COMPUTED_VALUE"""),"Money In")</f>
        <v>Money In</v>
      </c>
      <c r="D145" s="28" t="str">
        <f>IFERROR(__xludf.DUMMYFUNCTION("""COMPUTED_VALUE"""),"Revenue")</f>
        <v>Revenue</v>
      </c>
      <c r="E145" s="28" t="str">
        <f>IFERROR(__xludf.DUMMYFUNCTION("""COMPUTED_VALUE"""),"deplomacyMall")</f>
        <v>deplomacyMall</v>
      </c>
      <c r="F145" s="28"/>
      <c r="G145" s="28">
        <v>830.0</v>
      </c>
      <c r="H145" s="28" t="s">
        <v>135</v>
      </c>
      <c r="J145" s="28" t="s">
        <v>135</v>
      </c>
    </row>
    <row r="146">
      <c r="A146" s="112">
        <f>IFERROR(__xludf.DUMMYFUNCTION("""COMPUTED_VALUE"""),45749.0)</f>
        <v>45749</v>
      </c>
      <c r="B146" s="113">
        <f>IFERROR(__xludf.DUMMYFUNCTION("""COMPUTED_VALUE"""),1120.0)</f>
        <v>1120</v>
      </c>
      <c r="C146" s="28" t="str">
        <f>IFERROR(__xludf.DUMMYFUNCTION("""COMPUTED_VALUE"""),"Money Out")</f>
        <v>Money Out</v>
      </c>
      <c r="D146" s="28" t="str">
        <f>IFERROR(__xludf.DUMMYFUNCTION("""COMPUTED_VALUE"""),"Product Restocking")</f>
        <v>Product Restocking</v>
      </c>
      <c r="E146" s="28"/>
      <c r="F146" s="28"/>
      <c r="G146" s="28">
        <v>-1120.0</v>
      </c>
      <c r="H146" s="28" t="s">
        <v>134</v>
      </c>
      <c r="J146" s="28" t="s">
        <v>134</v>
      </c>
    </row>
    <row r="147">
      <c r="A147" s="112">
        <f>IFERROR(__xludf.DUMMYFUNCTION("""COMPUTED_VALUE"""),45749.0)</f>
        <v>45749</v>
      </c>
      <c r="B147" s="113">
        <f>IFERROR(__xludf.DUMMYFUNCTION("""COMPUTED_VALUE"""),2823.0)</f>
        <v>2823</v>
      </c>
      <c r="C147" s="28" t="str">
        <f>IFERROR(__xludf.DUMMYFUNCTION("""COMPUTED_VALUE"""),"Money In")</f>
        <v>Money In</v>
      </c>
      <c r="D147" s="28" t="str">
        <f>IFERROR(__xludf.DUMMYFUNCTION("""COMPUTED_VALUE"""),"Revenue")</f>
        <v>Revenue</v>
      </c>
      <c r="E147" s="28" t="str">
        <f>IFERROR(__xludf.DUMMYFUNCTION("""COMPUTED_VALUE"""),"deplomacyMall")</f>
        <v>deplomacyMall</v>
      </c>
      <c r="F147" s="28" t="str">
        <f>IFERROR(__xludf.DUMMYFUNCTION("""COMPUTED_VALUE"""),"ايام العيد")</f>
        <v>ايام العيد</v>
      </c>
      <c r="G147" s="28">
        <v>2823.0</v>
      </c>
      <c r="H147" s="28" t="s">
        <v>135</v>
      </c>
      <c r="J147" s="28" t="s">
        <v>135</v>
      </c>
    </row>
    <row r="148">
      <c r="A148" s="112">
        <f>IFERROR(__xludf.DUMMYFUNCTION("""COMPUTED_VALUE"""),45750.0)</f>
        <v>45750</v>
      </c>
      <c r="B148" s="113">
        <f>IFERROR(__xludf.DUMMYFUNCTION("""COMPUTED_VALUE"""),1553.0)</f>
        <v>1553</v>
      </c>
      <c r="C148" s="28" t="str">
        <f>IFERROR(__xludf.DUMMYFUNCTION("""COMPUTED_VALUE"""),"Money In")</f>
        <v>Money In</v>
      </c>
      <c r="D148" s="28" t="str">
        <f>IFERROR(__xludf.DUMMYFUNCTION("""COMPUTED_VALUE"""),"Revenue")</f>
        <v>Revenue</v>
      </c>
      <c r="E148" s="28" t="str">
        <f>IFERROR(__xludf.DUMMYFUNCTION("""COMPUTED_VALUE"""),"deplomacyMall")</f>
        <v>deplomacyMall</v>
      </c>
      <c r="F148" s="28"/>
      <c r="G148" s="28">
        <v>1553.0</v>
      </c>
      <c r="H148" s="28" t="s">
        <v>135</v>
      </c>
      <c r="J148" s="28" t="s">
        <v>135</v>
      </c>
    </row>
    <row r="149">
      <c r="A149" s="112">
        <f>IFERROR(__xludf.DUMMYFUNCTION("""COMPUTED_VALUE"""),45750.0)</f>
        <v>45750</v>
      </c>
      <c r="B149" s="113">
        <f>IFERROR(__xludf.DUMMYFUNCTION("""COMPUTED_VALUE"""),1025.0)</f>
        <v>1025</v>
      </c>
      <c r="C149" s="28" t="str">
        <f>IFERROR(__xludf.DUMMYFUNCTION("""COMPUTED_VALUE"""),"Money Out")</f>
        <v>Money Out</v>
      </c>
      <c r="D149" s="28" t="str">
        <f>IFERROR(__xludf.DUMMYFUNCTION("""COMPUTED_VALUE"""),"Product Restocking")</f>
        <v>Product Restocking</v>
      </c>
      <c r="E149" s="28"/>
      <c r="F149" s="28"/>
      <c r="G149" s="28">
        <v>-1025.0</v>
      </c>
      <c r="H149" s="28" t="s">
        <v>134</v>
      </c>
      <c r="J149" s="28" t="s">
        <v>134</v>
      </c>
    </row>
    <row r="150">
      <c r="A150" s="112">
        <f>IFERROR(__xludf.DUMMYFUNCTION("""COMPUTED_VALUE"""),45751.0)</f>
        <v>45751</v>
      </c>
      <c r="B150" s="113">
        <f>IFERROR(__xludf.DUMMYFUNCTION("""COMPUTED_VALUE"""),300.0)</f>
        <v>300</v>
      </c>
      <c r="C150" s="28" t="str">
        <f>IFERROR(__xludf.DUMMYFUNCTION("""COMPUTED_VALUE"""),"Money Out")</f>
        <v>Money Out</v>
      </c>
      <c r="D150" s="28" t="str">
        <f>IFERROR(__xludf.DUMMYFUNCTION("""COMPUTED_VALUE"""),"Product Restocking")</f>
        <v>Product Restocking</v>
      </c>
      <c r="E150" s="28"/>
      <c r="F150" s="28"/>
      <c r="G150" s="28">
        <v>-300.0</v>
      </c>
      <c r="H150" s="28" t="s">
        <v>134</v>
      </c>
      <c r="J150" s="28" t="s">
        <v>134</v>
      </c>
    </row>
    <row r="151">
      <c r="A151" s="112">
        <f>IFERROR(__xludf.DUMMYFUNCTION("""COMPUTED_VALUE"""),45751.0)</f>
        <v>45751</v>
      </c>
      <c r="B151" s="113">
        <f>IFERROR(__xludf.DUMMYFUNCTION("""COMPUTED_VALUE"""),1334.0)</f>
        <v>1334</v>
      </c>
      <c r="C151" s="28" t="str">
        <f>IFERROR(__xludf.DUMMYFUNCTION("""COMPUTED_VALUE"""),"Money In")</f>
        <v>Money In</v>
      </c>
      <c r="D151" s="28" t="str">
        <f>IFERROR(__xludf.DUMMYFUNCTION("""COMPUTED_VALUE"""),"Revenue")</f>
        <v>Revenue</v>
      </c>
      <c r="E151" s="28" t="str">
        <f>IFERROR(__xludf.DUMMYFUNCTION("""COMPUTED_VALUE"""),"deplomacyMall")</f>
        <v>deplomacyMall</v>
      </c>
      <c r="F151" s="28"/>
      <c r="G151" s="28">
        <v>1334.0</v>
      </c>
      <c r="H151" s="28" t="s">
        <v>135</v>
      </c>
      <c r="J151" s="28" t="s">
        <v>135</v>
      </c>
    </row>
    <row r="152">
      <c r="A152" s="112">
        <f>IFERROR(__xludf.DUMMYFUNCTION("""COMPUTED_VALUE"""),45752.0)</f>
        <v>45752</v>
      </c>
      <c r="B152" s="113">
        <f>IFERROR(__xludf.DUMMYFUNCTION("""COMPUTED_VALUE"""),1500.0)</f>
        <v>1500</v>
      </c>
      <c r="C152" s="28" t="str">
        <f>IFERROR(__xludf.DUMMYFUNCTION("""COMPUTED_VALUE"""),"Money Out")</f>
        <v>Money Out</v>
      </c>
      <c r="D152" s="28" t="str">
        <f>IFERROR(__xludf.DUMMYFUNCTION("""COMPUTED_VALUE"""),"Rent")</f>
        <v>Rent</v>
      </c>
      <c r="E152" s="28"/>
      <c r="F152" s="28" t="str">
        <f>IFERROR(__xludf.DUMMYFUNCTION("""COMPUTED_VALUE"""),"دبلوماسي شهر تنين وتلاته واربعه")</f>
        <v>دبلوماسي شهر تنين وتلاته واربعه</v>
      </c>
      <c r="G152" s="28">
        <v>-1500.0</v>
      </c>
      <c r="H152" s="28" t="s">
        <v>137</v>
      </c>
      <c r="J152" s="28" t="s">
        <v>137</v>
      </c>
    </row>
    <row r="153">
      <c r="A153" s="112">
        <f>IFERROR(__xludf.DUMMYFUNCTION("""COMPUTED_VALUE"""),45752.0)</f>
        <v>45752</v>
      </c>
      <c r="B153" s="113">
        <f>IFERROR(__xludf.DUMMYFUNCTION("""COMPUTED_VALUE"""),1448.0)</f>
        <v>1448</v>
      </c>
      <c r="C153" s="28" t="str">
        <f>IFERROR(__xludf.DUMMYFUNCTION("""COMPUTED_VALUE"""),"Money Out")</f>
        <v>Money Out</v>
      </c>
      <c r="D153" s="28" t="str">
        <f>IFERROR(__xludf.DUMMYFUNCTION("""COMPUTED_VALUE"""),"Product Restocking")</f>
        <v>Product Restocking</v>
      </c>
      <c r="E153" s="28"/>
      <c r="F153" s="28"/>
      <c r="G153" s="28">
        <v>-1448.0</v>
      </c>
      <c r="H153" s="28" t="s">
        <v>134</v>
      </c>
      <c r="J153" s="28" t="s">
        <v>134</v>
      </c>
    </row>
    <row r="154">
      <c r="A154" s="112">
        <f>IFERROR(__xludf.DUMMYFUNCTION("""COMPUTED_VALUE"""),45757.0)</f>
        <v>45757</v>
      </c>
      <c r="B154" s="113">
        <f>IFERROR(__xludf.DUMMYFUNCTION("""COMPUTED_VALUE"""),895.0)</f>
        <v>895</v>
      </c>
      <c r="C154" s="28" t="str">
        <f>IFERROR(__xludf.DUMMYFUNCTION("""COMPUTED_VALUE"""),"Money Out")</f>
        <v>Money Out</v>
      </c>
      <c r="D154" s="28" t="str">
        <f>IFERROR(__xludf.DUMMYFUNCTION("""COMPUTED_VALUE"""),"Product Restocking")</f>
        <v>Product Restocking</v>
      </c>
      <c r="E154" s="28"/>
      <c r="F154" s="28"/>
      <c r="G154" s="28">
        <v>-895.0</v>
      </c>
      <c r="H154" s="28" t="s">
        <v>134</v>
      </c>
      <c r="J154" s="28" t="s">
        <v>134</v>
      </c>
    </row>
    <row r="155">
      <c r="A155" s="112">
        <f>IFERROR(__xludf.DUMMYFUNCTION("""COMPUTED_VALUE"""),45758.0)</f>
        <v>45758</v>
      </c>
      <c r="B155" s="113">
        <f>IFERROR(__xludf.DUMMYFUNCTION("""COMPUTED_VALUE"""),2188.0)</f>
        <v>2188</v>
      </c>
      <c r="C155" s="28" t="str">
        <f>IFERROR(__xludf.DUMMYFUNCTION("""COMPUTED_VALUE"""),"Money In")</f>
        <v>Money In</v>
      </c>
      <c r="D155" s="28" t="str">
        <f>IFERROR(__xludf.DUMMYFUNCTION("""COMPUTED_VALUE"""),"Revenue")</f>
        <v>Revenue</v>
      </c>
      <c r="E155" s="28" t="str">
        <f>IFERROR(__xludf.DUMMYFUNCTION("""COMPUTED_VALUE"""),"deplomacyMall")</f>
        <v>deplomacyMall</v>
      </c>
      <c r="F155" s="28"/>
      <c r="G155" s="28">
        <v>2188.0</v>
      </c>
      <c r="H155" s="28" t="s">
        <v>135</v>
      </c>
      <c r="J155" s="28" t="s">
        <v>135</v>
      </c>
    </row>
    <row r="156">
      <c r="A156" s="112">
        <f>IFERROR(__xludf.DUMMYFUNCTION("""COMPUTED_VALUE"""),45759.0)</f>
        <v>45759</v>
      </c>
      <c r="B156" s="113">
        <f>IFERROR(__xludf.DUMMYFUNCTION("""COMPUTED_VALUE"""),550.0)</f>
        <v>550</v>
      </c>
      <c r="C156" s="28" t="str">
        <f>IFERROR(__xludf.DUMMYFUNCTION("""COMPUTED_VALUE"""),"Money In")</f>
        <v>Money In</v>
      </c>
      <c r="D156" s="28"/>
      <c r="E156" s="28"/>
      <c r="F156" s="28" t="str">
        <f>IFERROR(__xludf.DUMMYFUNCTION("""COMPUTED_VALUE"""),"تعديل ميزانيه")</f>
        <v>تعديل ميزانيه</v>
      </c>
      <c r="G156" s="28">
        <v>550.0</v>
      </c>
      <c r="H156" s="28" t="s">
        <v>146</v>
      </c>
      <c r="J156" s="28" t="s">
        <v>146</v>
      </c>
    </row>
    <row r="157">
      <c r="A157" s="112">
        <f>IFERROR(__xludf.DUMMYFUNCTION("""COMPUTED_VALUE"""),45759.0)</f>
        <v>45759</v>
      </c>
      <c r="B157" s="113">
        <f>IFERROR(__xludf.DUMMYFUNCTION("""COMPUTED_VALUE"""),1650.0)</f>
        <v>1650</v>
      </c>
      <c r="C157" s="28" t="str">
        <f>IFERROR(__xludf.DUMMYFUNCTION("""COMPUTED_VALUE"""),"Money Out")</f>
        <v>Money Out</v>
      </c>
      <c r="D157" s="28" t="str">
        <f>IFERROR(__xludf.DUMMYFUNCTION("""COMPUTED_VALUE"""),"Product Restocking")</f>
        <v>Product Restocking</v>
      </c>
      <c r="E157" s="28"/>
      <c r="F157" s="28"/>
      <c r="G157" s="28">
        <v>-1650.0</v>
      </c>
      <c r="H157" s="28" t="s">
        <v>134</v>
      </c>
      <c r="J157" s="28" t="s">
        <v>134</v>
      </c>
    </row>
    <row r="158">
      <c r="A158" s="112">
        <f>IFERROR(__xludf.DUMMYFUNCTION("""COMPUTED_VALUE"""),45763.0)</f>
        <v>45763</v>
      </c>
      <c r="B158" s="113">
        <f>IFERROR(__xludf.DUMMYFUNCTION("""COMPUTED_VALUE"""),800.0)</f>
        <v>800</v>
      </c>
      <c r="C158" s="28" t="str">
        <f>IFERROR(__xludf.DUMMYFUNCTION("""COMPUTED_VALUE"""),"Money Out")</f>
        <v>Money Out</v>
      </c>
      <c r="D158" s="28" t="str">
        <f>IFERROR(__xludf.DUMMYFUNCTION("""COMPUTED_VALUE"""),"charity")</f>
        <v>charity</v>
      </c>
      <c r="E158" s="28"/>
      <c r="F158" s="28"/>
      <c r="G158" s="28">
        <v>-800.0</v>
      </c>
      <c r="H158" s="28" t="s">
        <v>136</v>
      </c>
      <c r="J158" s="28" t="s">
        <v>136</v>
      </c>
    </row>
    <row r="159">
      <c r="A159" s="112">
        <f>IFERROR(__xludf.DUMMYFUNCTION("""COMPUTED_VALUE"""),45764.0)</f>
        <v>45764</v>
      </c>
      <c r="B159" s="113">
        <f>IFERROR(__xludf.DUMMYFUNCTION("""COMPUTED_VALUE"""),1363.0)</f>
        <v>1363</v>
      </c>
      <c r="C159" s="28" t="str">
        <f>IFERROR(__xludf.DUMMYFUNCTION("""COMPUTED_VALUE"""),"Money Out")</f>
        <v>Money Out</v>
      </c>
      <c r="D159" s="28" t="str">
        <f>IFERROR(__xludf.DUMMYFUNCTION("""COMPUTED_VALUE"""),"Product Restocking")</f>
        <v>Product Restocking</v>
      </c>
      <c r="E159" s="28"/>
      <c r="F159" s="28"/>
      <c r="G159" s="28">
        <v>-1363.0</v>
      </c>
      <c r="H159" s="28" t="s">
        <v>134</v>
      </c>
      <c r="J159" s="28" t="s">
        <v>134</v>
      </c>
    </row>
    <row r="160">
      <c r="A160" s="112">
        <f>IFERROR(__xludf.DUMMYFUNCTION("""COMPUTED_VALUE"""),45766.0)</f>
        <v>45766</v>
      </c>
      <c r="B160" s="113">
        <f>IFERROR(__xludf.DUMMYFUNCTION("""COMPUTED_VALUE"""),2748.0)</f>
        <v>2748</v>
      </c>
      <c r="C160" s="28" t="str">
        <f>IFERROR(__xludf.DUMMYFUNCTION("""COMPUTED_VALUE"""),"Money In")</f>
        <v>Money In</v>
      </c>
      <c r="D160" s="28" t="str">
        <f>IFERROR(__xludf.DUMMYFUNCTION("""COMPUTED_VALUE"""),"Revenue")</f>
        <v>Revenue</v>
      </c>
      <c r="E160" s="28" t="str">
        <f>IFERROR(__xludf.DUMMYFUNCTION("""COMPUTED_VALUE"""),"deplomacyMall")</f>
        <v>deplomacyMall</v>
      </c>
      <c r="F160" s="28"/>
      <c r="G160" s="28">
        <v>2748.0</v>
      </c>
      <c r="H160" s="28" t="s">
        <v>135</v>
      </c>
      <c r="J160" s="28" t="s">
        <v>135</v>
      </c>
    </row>
    <row r="161">
      <c r="A161" s="112">
        <f>IFERROR(__xludf.DUMMYFUNCTION("""COMPUTED_VALUE"""),45766.0)</f>
        <v>45766</v>
      </c>
      <c r="B161" s="113">
        <f>IFERROR(__xludf.DUMMYFUNCTION("""COMPUTED_VALUE"""),532.0)</f>
        <v>532</v>
      </c>
      <c r="C161" s="28" t="str">
        <f>IFERROR(__xludf.DUMMYFUNCTION("""COMPUTED_VALUE"""),"Money Out")</f>
        <v>Money Out</v>
      </c>
      <c r="D161" s="28" t="str">
        <f>IFERROR(__xludf.DUMMYFUNCTION("""COMPUTED_VALUE"""),"Product Restocking")</f>
        <v>Product Restocking</v>
      </c>
      <c r="E161" s="28"/>
      <c r="F161" s="28"/>
      <c r="G161" s="28">
        <v>-532.0</v>
      </c>
      <c r="H161" s="28" t="s">
        <v>134</v>
      </c>
      <c r="J161" s="28" t="s">
        <v>134</v>
      </c>
    </row>
    <row r="162">
      <c r="A162" s="112">
        <f>IFERROR(__xludf.DUMMYFUNCTION("""COMPUTED_VALUE"""),45768.0)</f>
        <v>45768</v>
      </c>
      <c r="B162" s="113">
        <f>IFERROR(__xludf.DUMMYFUNCTION("""COMPUTED_VALUE"""),532.0)</f>
        <v>532</v>
      </c>
      <c r="C162" s="28" t="str">
        <f>IFERROR(__xludf.DUMMYFUNCTION("""COMPUTED_VALUE"""),"Money Out")</f>
        <v>Money Out</v>
      </c>
      <c r="D162" s="28" t="str">
        <f>IFERROR(__xludf.DUMMYFUNCTION("""COMPUTED_VALUE"""),"Product Restocking")</f>
        <v>Product Restocking</v>
      </c>
      <c r="E162" s="28"/>
      <c r="F162" s="28"/>
      <c r="G162" s="28">
        <v>-532.0</v>
      </c>
      <c r="H162" s="28" t="s">
        <v>134</v>
      </c>
      <c r="J162" s="28" t="s">
        <v>134</v>
      </c>
    </row>
    <row r="163">
      <c r="A163" s="112">
        <f>IFERROR(__xludf.DUMMYFUNCTION("""COMPUTED_VALUE"""),45770.0)</f>
        <v>45770</v>
      </c>
      <c r="B163" s="113">
        <f>IFERROR(__xludf.DUMMYFUNCTION("""COMPUTED_VALUE"""),1430.0)</f>
        <v>1430</v>
      </c>
      <c r="C163" s="28" t="str">
        <f>IFERROR(__xludf.DUMMYFUNCTION("""COMPUTED_VALUE"""),"Money Out")</f>
        <v>Money Out</v>
      </c>
      <c r="D163" s="28" t="str">
        <f>IFERROR(__xludf.DUMMYFUNCTION("""COMPUTED_VALUE"""),"Product Restocking")</f>
        <v>Product Restocking</v>
      </c>
      <c r="E163" s="28"/>
      <c r="F163" s="28"/>
      <c r="G163" s="28">
        <v>-1430.0</v>
      </c>
      <c r="H163" s="28" t="s">
        <v>134</v>
      </c>
      <c r="J163" s="28" t="s">
        <v>134</v>
      </c>
    </row>
    <row r="164">
      <c r="A164" s="112">
        <f>IFERROR(__xludf.DUMMYFUNCTION("""COMPUTED_VALUE"""),45770.0)</f>
        <v>45770</v>
      </c>
      <c r="B164" s="113">
        <f>IFERROR(__xludf.DUMMYFUNCTION("""COMPUTED_VALUE"""),2495.0)</f>
        <v>2495</v>
      </c>
      <c r="C164" s="28" t="str">
        <f>IFERROR(__xludf.DUMMYFUNCTION("""COMPUTED_VALUE"""),"Money In")</f>
        <v>Money In</v>
      </c>
      <c r="D164" s="28" t="str">
        <f>IFERROR(__xludf.DUMMYFUNCTION("""COMPUTED_VALUE"""),"Revenue")</f>
        <v>Revenue</v>
      </c>
      <c r="E164" s="28" t="str">
        <f>IFERROR(__xludf.DUMMYFUNCTION("""COMPUTED_VALUE"""),"deplomacyMall")</f>
        <v>deplomacyMall</v>
      </c>
      <c r="F164" s="28"/>
      <c r="G164" s="28">
        <v>2495.0</v>
      </c>
      <c r="H164" s="28" t="s">
        <v>135</v>
      </c>
      <c r="J164" s="28" t="s">
        <v>135</v>
      </c>
    </row>
    <row r="165">
      <c r="A165" s="112">
        <f>IFERROR(__xludf.DUMMYFUNCTION("""COMPUTED_VALUE"""),45771.0)</f>
        <v>45771</v>
      </c>
      <c r="B165" s="113">
        <f>IFERROR(__xludf.DUMMYFUNCTION("""COMPUTED_VALUE"""),40.0)</f>
        <v>40</v>
      </c>
      <c r="C165" s="28" t="str">
        <f>IFERROR(__xludf.DUMMYFUNCTION("""COMPUTED_VALUE"""),"Money Out")</f>
        <v>Money Out</v>
      </c>
      <c r="D165" s="28" t="str">
        <f>IFERROR(__xludf.DUMMYFUNCTION("""COMPUTED_VALUE""")," Anas")</f>
        <v> Anas</v>
      </c>
      <c r="E165" s="28"/>
      <c r="F165" s="28"/>
      <c r="G165" s="28">
        <v>-40.0</v>
      </c>
      <c r="H165" s="28" t="s">
        <v>146</v>
      </c>
      <c r="J165" s="28" t="s">
        <v>146</v>
      </c>
    </row>
    <row r="166">
      <c r="A166" s="112">
        <f>IFERROR(__xludf.DUMMYFUNCTION("""COMPUTED_VALUE"""),45773.0)</f>
        <v>45773</v>
      </c>
      <c r="B166" s="113">
        <f>IFERROR(__xludf.DUMMYFUNCTION("""COMPUTED_VALUE"""),788.0)</f>
        <v>788</v>
      </c>
      <c r="C166" s="28" t="str">
        <f>IFERROR(__xludf.DUMMYFUNCTION("""COMPUTED_VALUE"""),"Money Out")</f>
        <v>Money Out</v>
      </c>
      <c r="D166" s="28" t="str">
        <f>IFERROR(__xludf.DUMMYFUNCTION("""COMPUTED_VALUE"""),"Product Restocking")</f>
        <v>Product Restocking</v>
      </c>
      <c r="E166" s="28"/>
      <c r="F166" s="28"/>
      <c r="G166" s="28">
        <v>-788.0</v>
      </c>
      <c r="H166" s="28" t="s">
        <v>134</v>
      </c>
      <c r="J166" s="28" t="s">
        <v>134</v>
      </c>
    </row>
    <row r="167">
      <c r="A167" s="112">
        <f>IFERROR(__xludf.DUMMYFUNCTION("""COMPUTED_VALUE"""),45777.0)</f>
        <v>45777</v>
      </c>
      <c r="B167" s="113">
        <f>IFERROR(__xludf.DUMMYFUNCTION("""COMPUTED_VALUE"""),2706.0)</f>
        <v>2706</v>
      </c>
      <c r="C167" s="28" t="str">
        <f>IFERROR(__xludf.DUMMYFUNCTION("""COMPUTED_VALUE"""),"Money In")</f>
        <v>Money In</v>
      </c>
      <c r="D167" s="28" t="str">
        <f>IFERROR(__xludf.DUMMYFUNCTION("""COMPUTED_VALUE"""),"Revenue")</f>
        <v>Revenue</v>
      </c>
      <c r="E167" s="28" t="str">
        <f>IFERROR(__xludf.DUMMYFUNCTION("""COMPUTED_VALUE"""),"deplomacyMall")</f>
        <v>deplomacyMall</v>
      </c>
      <c r="F167" s="28"/>
      <c r="G167" s="28">
        <v>2706.0</v>
      </c>
      <c r="H167" s="28" t="s">
        <v>135</v>
      </c>
      <c r="J167" s="28" t="s">
        <v>135</v>
      </c>
    </row>
    <row r="168">
      <c r="A168" s="112">
        <f>IFERROR(__xludf.DUMMYFUNCTION("""COMPUTED_VALUE"""),45777.0)</f>
        <v>45777</v>
      </c>
      <c r="B168" s="113">
        <f>IFERROR(__xludf.DUMMYFUNCTION("""COMPUTED_VALUE"""),553.0)</f>
        <v>553</v>
      </c>
      <c r="C168" s="28" t="str">
        <f>IFERROR(__xludf.DUMMYFUNCTION("""COMPUTED_VALUE"""),"Money Out")</f>
        <v>Money Out</v>
      </c>
      <c r="D168" s="28" t="str">
        <f>IFERROR(__xludf.DUMMYFUNCTION("""COMPUTED_VALUE"""),"Product Restocking")</f>
        <v>Product Restocking</v>
      </c>
      <c r="E168" s="28"/>
      <c r="F168" s="28"/>
      <c r="G168" s="28">
        <v>-553.0</v>
      </c>
      <c r="H168" s="28" t="s">
        <v>134</v>
      </c>
      <c r="J168" s="28" t="s">
        <v>134</v>
      </c>
    </row>
    <row r="169">
      <c r="A169" s="112">
        <f>IFERROR(__xludf.DUMMYFUNCTION("""COMPUTED_VALUE"""),45777.0)</f>
        <v>45777</v>
      </c>
      <c r="B169" s="113">
        <f>IFERROR(__xludf.DUMMYFUNCTION("""COMPUTED_VALUE"""),1500.0)</f>
        <v>1500</v>
      </c>
      <c r="C169" s="28" t="str">
        <f>IFERROR(__xludf.DUMMYFUNCTION("""COMPUTED_VALUE"""),"Money In")</f>
        <v>Money In</v>
      </c>
      <c r="D169" s="28" t="str">
        <f>IFERROR(__xludf.DUMMYFUNCTION("""COMPUTED_VALUE"""),"ads")</f>
        <v>ads</v>
      </c>
      <c r="E169" s="28"/>
      <c r="F169" s="28" t="str">
        <f>IFERROR(__xludf.DUMMYFUNCTION("""COMPUTED_VALUE"""),"نصف قيمة التاني دعايه توربو تلاته اشهر")</f>
        <v>نصف قيمة التاني دعايه توربو تلاته اشهر</v>
      </c>
      <c r="G169" s="28">
        <v>1500.0</v>
      </c>
      <c r="H169" s="28" t="s">
        <v>135</v>
      </c>
      <c r="J169" s="28" t="s">
        <v>135</v>
      </c>
    </row>
    <row r="170">
      <c r="A170" s="112">
        <f>IFERROR(__xludf.DUMMYFUNCTION("""COMPUTED_VALUE"""),45780.0)</f>
        <v>45780</v>
      </c>
      <c r="B170" s="113">
        <f>IFERROR(__xludf.DUMMYFUNCTION("""COMPUTED_VALUE"""),761.0)</f>
        <v>761</v>
      </c>
      <c r="C170" s="28" t="str">
        <f>IFERROR(__xludf.DUMMYFUNCTION("""COMPUTED_VALUE"""),"Money Out")</f>
        <v>Money Out</v>
      </c>
      <c r="D170" s="28" t="str">
        <f>IFERROR(__xludf.DUMMYFUNCTION("""COMPUTED_VALUE"""),"Product Restocking")</f>
        <v>Product Restocking</v>
      </c>
      <c r="E170" s="28"/>
      <c r="F170" s="28"/>
      <c r="G170" s="28">
        <v>-761.0</v>
      </c>
      <c r="H170" s="28" t="s">
        <v>134</v>
      </c>
      <c r="J170" s="28" t="s">
        <v>134</v>
      </c>
    </row>
    <row r="171">
      <c r="A171" s="112">
        <f>IFERROR(__xludf.DUMMYFUNCTION("""COMPUTED_VALUE"""),45781.0)</f>
        <v>45781</v>
      </c>
      <c r="B171" s="113">
        <f>IFERROR(__xludf.DUMMYFUNCTION("""COMPUTED_VALUE"""),50.0)</f>
        <v>50</v>
      </c>
      <c r="C171" s="28" t="str">
        <f>IFERROR(__xludf.DUMMYFUNCTION("""COMPUTED_VALUE"""),"Money Out")</f>
        <v>Money Out</v>
      </c>
      <c r="D171" s="28" t="str">
        <f>IFERROR(__xludf.DUMMYFUNCTION("""COMPUTED_VALUE"""),"Doaa")</f>
        <v>Doaa</v>
      </c>
      <c r="E171" s="28"/>
      <c r="F171" s="28"/>
      <c r="G171" s="28">
        <v>-50.0</v>
      </c>
      <c r="H171" s="28" t="s">
        <v>146</v>
      </c>
      <c r="J171" s="28" t="s">
        <v>146</v>
      </c>
    </row>
    <row r="172">
      <c r="A172" s="112">
        <f>IFERROR(__xludf.DUMMYFUNCTION("""COMPUTED_VALUE"""),45781.0)</f>
        <v>45781</v>
      </c>
      <c r="B172" s="113">
        <f>IFERROR(__xludf.DUMMYFUNCTION("""COMPUTED_VALUE"""),300.0)</f>
        <v>300</v>
      </c>
      <c r="C172" s="28" t="str">
        <f>IFERROR(__xludf.DUMMYFUNCTION("""COMPUTED_VALUE"""),"Money Out")</f>
        <v>Money Out</v>
      </c>
      <c r="D172" s="28"/>
      <c r="E172" s="28"/>
      <c r="F172" s="28"/>
      <c r="G172" s="28">
        <v>-300.0</v>
      </c>
      <c r="H172" s="28" t="s">
        <v>146</v>
      </c>
      <c r="J172" s="28" t="s">
        <v>146</v>
      </c>
    </row>
    <row r="173">
      <c r="A173" s="112">
        <f>IFERROR(__xludf.DUMMYFUNCTION("""COMPUTED_VALUE"""),45785.0)</f>
        <v>45785</v>
      </c>
      <c r="B173" s="113">
        <f>IFERROR(__xludf.DUMMYFUNCTION("""COMPUTED_VALUE"""),673.0)</f>
        <v>673</v>
      </c>
      <c r="C173" s="28" t="str">
        <f>IFERROR(__xludf.DUMMYFUNCTION("""COMPUTED_VALUE"""),"Money Out")</f>
        <v>Money Out</v>
      </c>
      <c r="D173" s="28" t="str">
        <f>IFERROR(__xludf.DUMMYFUNCTION("""COMPUTED_VALUE"""),"Product Restocking")</f>
        <v>Product Restocking</v>
      </c>
      <c r="E173" s="28"/>
      <c r="F173" s="28"/>
      <c r="G173" s="28">
        <v>-673.0</v>
      </c>
      <c r="H173" s="28" t="s">
        <v>134</v>
      </c>
      <c r="J173" s="28" t="s">
        <v>134</v>
      </c>
    </row>
    <row r="174">
      <c r="A174" s="112">
        <f>IFERROR(__xludf.DUMMYFUNCTION("""COMPUTED_VALUE"""),45786.0)</f>
        <v>45786</v>
      </c>
      <c r="B174" s="113">
        <f>IFERROR(__xludf.DUMMYFUNCTION("""COMPUTED_VALUE"""),3063.0)</f>
        <v>3063</v>
      </c>
      <c r="C174" s="28" t="str">
        <f>IFERROR(__xludf.DUMMYFUNCTION("""COMPUTED_VALUE"""),"Money In")</f>
        <v>Money In</v>
      </c>
      <c r="D174" s="28" t="str">
        <f>IFERROR(__xludf.DUMMYFUNCTION("""COMPUTED_VALUE"""),"Revenue")</f>
        <v>Revenue</v>
      </c>
      <c r="E174" s="28" t="str">
        <f>IFERROR(__xludf.DUMMYFUNCTION("""COMPUTED_VALUE"""),"deplomacyMall")</f>
        <v>deplomacyMall</v>
      </c>
      <c r="F174" s="28"/>
      <c r="G174" s="28">
        <v>3063.0</v>
      </c>
      <c r="H174" s="28" t="s">
        <v>135</v>
      </c>
      <c r="J174" s="28" t="s">
        <v>135</v>
      </c>
    </row>
    <row r="175">
      <c r="A175" s="112">
        <f>IFERROR(__xludf.DUMMYFUNCTION("""COMPUTED_VALUE"""),45794.0)</f>
        <v>45794</v>
      </c>
      <c r="B175" s="113">
        <f>IFERROR(__xludf.DUMMYFUNCTION("""COMPUTED_VALUE"""),4000.0)</f>
        <v>4000</v>
      </c>
      <c r="C175" s="28" t="str">
        <f>IFERROR(__xludf.DUMMYFUNCTION("""COMPUTED_VALUE"""),"Money Out")</f>
        <v>Money Out</v>
      </c>
      <c r="D175" s="28" t="str">
        <f>IFERROR(__xludf.DUMMYFUNCTION("""COMPUTED_VALUE"""),"to snacky")</f>
        <v>to snacky</v>
      </c>
      <c r="E175" s="28"/>
      <c r="F175" s="28"/>
      <c r="G175" s="28">
        <v>-4000.0</v>
      </c>
      <c r="H175" s="28" t="s">
        <v>146</v>
      </c>
      <c r="J175" s="28" t="s">
        <v>146</v>
      </c>
    </row>
    <row r="176">
      <c r="A176" s="112">
        <f>IFERROR(__xludf.DUMMYFUNCTION("""COMPUTED_VALUE"""),45794.0)</f>
        <v>45794</v>
      </c>
      <c r="B176" s="113">
        <f>IFERROR(__xludf.DUMMYFUNCTION("""COMPUTED_VALUE"""),4000.0)</f>
        <v>4000</v>
      </c>
      <c r="C176" s="28" t="str">
        <f>IFERROR(__xludf.DUMMYFUNCTION("""COMPUTED_VALUE"""),"Money In")</f>
        <v>Money In</v>
      </c>
      <c r="D176" s="28"/>
      <c r="E176" s="28"/>
      <c r="F176" s="28"/>
      <c r="G176" s="28">
        <v>4000.0</v>
      </c>
      <c r="H176" s="28" t="s">
        <v>146</v>
      </c>
      <c r="J176" s="28" t="s">
        <v>146</v>
      </c>
    </row>
    <row r="177">
      <c r="A177" s="112">
        <f>IFERROR(__xludf.DUMMYFUNCTION("""COMPUTED_VALUE"""),45794.0)</f>
        <v>45794</v>
      </c>
      <c r="B177" s="113">
        <f>IFERROR(__xludf.DUMMYFUNCTION("""COMPUTED_VALUE"""),6400.0)</f>
        <v>6400</v>
      </c>
      <c r="C177" s="28" t="str">
        <f>IFERROR(__xludf.DUMMYFUNCTION("""COMPUTED_VALUE"""),"Money Out")</f>
        <v>Money Out</v>
      </c>
      <c r="D177" s="28" t="str">
        <f>IFERROR(__xludf.DUMMYFUNCTION("""COMPUTED_VALUE"""),"shipping")</f>
        <v>shipping</v>
      </c>
      <c r="E177" s="28"/>
      <c r="F177" s="28" t="str">
        <f>IFERROR(__xludf.DUMMYFUNCTION("""COMPUTED_VALUE"""),"تخليص الشحن مكينتين")</f>
        <v>تخليص الشحن مكينتين</v>
      </c>
      <c r="G177" s="28">
        <v>-6400.0</v>
      </c>
      <c r="H177" s="28" t="s">
        <v>146</v>
      </c>
      <c r="J177" s="28" t="s">
        <v>146</v>
      </c>
    </row>
    <row r="178">
      <c r="A178" s="112">
        <f>IFERROR(__xludf.DUMMYFUNCTION("""COMPUTED_VALUE"""),45794.0)</f>
        <v>45794</v>
      </c>
      <c r="B178" s="113">
        <f>IFERROR(__xludf.DUMMYFUNCTION("""COMPUTED_VALUE"""),600.0)</f>
        <v>600</v>
      </c>
      <c r="C178" s="28" t="str">
        <f>IFERROR(__xludf.DUMMYFUNCTION("""COMPUTED_VALUE"""),"Money Out")</f>
        <v>Money Out</v>
      </c>
      <c r="D178" s="28" t="str">
        <f>IFERROR(__xludf.DUMMYFUNCTION("""COMPUTED_VALUE"""),"Anas")</f>
        <v>Anas</v>
      </c>
      <c r="E178" s="28"/>
      <c r="F178" s="28"/>
      <c r="G178" s="28">
        <v>-600.0</v>
      </c>
      <c r="H178" s="28" t="s">
        <v>139</v>
      </c>
      <c r="J178" s="28" t="s">
        <v>139</v>
      </c>
    </row>
    <row r="179">
      <c r="A179" s="112">
        <f>IFERROR(__xludf.DUMMYFUNCTION("""COMPUTED_VALUE"""),45794.0)</f>
        <v>45794</v>
      </c>
      <c r="B179" s="113">
        <f>IFERROR(__xludf.DUMMYFUNCTION("""COMPUTED_VALUE"""),600.0)</f>
        <v>600</v>
      </c>
      <c r="C179" s="28" t="str">
        <f>IFERROR(__xludf.DUMMYFUNCTION("""COMPUTED_VALUE"""),"Money In")</f>
        <v>Money In</v>
      </c>
      <c r="D179" s="28" t="str">
        <f>IFERROR(__xludf.DUMMYFUNCTION("""COMPUTED_VALUE"""),"from snacky")</f>
        <v>from snacky</v>
      </c>
      <c r="E179" s="28"/>
      <c r="F179" s="28"/>
      <c r="G179" s="28">
        <v>600.0</v>
      </c>
      <c r="H179" s="28" t="s">
        <v>146</v>
      </c>
      <c r="J179" s="28" t="s">
        <v>146</v>
      </c>
    </row>
    <row r="180">
      <c r="A180" s="112">
        <f>IFERROR(__xludf.DUMMYFUNCTION("""COMPUTED_VALUE"""),45796.0)</f>
        <v>45796</v>
      </c>
      <c r="B180" s="113">
        <f>IFERROR(__xludf.DUMMYFUNCTION("""COMPUTED_VALUE"""),1766.0)</f>
        <v>1766</v>
      </c>
      <c r="C180" s="28" t="str">
        <f>IFERROR(__xludf.DUMMYFUNCTION("""COMPUTED_VALUE"""),"Money In")</f>
        <v>Money In</v>
      </c>
      <c r="D180" s="28" t="str">
        <f>IFERROR(__xludf.DUMMYFUNCTION("""COMPUTED_VALUE"""),"Revenue")</f>
        <v>Revenue</v>
      </c>
      <c r="E180" s="28" t="str">
        <f>IFERROR(__xludf.DUMMYFUNCTION("""COMPUTED_VALUE"""),"deplomacyMall")</f>
        <v>deplomacyMall</v>
      </c>
      <c r="F180" s="28"/>
      <c r="G180" s="28">
        <v>1766.0</v>
      </c>
      <c r="H180" s="28" t="s">
        <v>135</v>
      </c>
      <c r="J180" s="28" t="s">
        <v>135</v>
      </c>
    </row>
    <row r="181">
      <c r="A181" s="112">
        <f>IFERROR(__xludf.DUMMYFUNCTION("""COMPUTED_VALUE"""),45796.0)</f>
        <v>45796</v>
      </c>
      <c r="B181" s="113">
        <f>IFERROR(__xludf.DUMMYFUNCTION("""COMPUTED_VALUE"""),1000.0)</f>
        <v>1000</v>
      </c>
      <c r="C181" s="28" t="str">
        <f>IFERROR(__xludf.DUMMYFUNCTION("""COMPUTED_VALUE"""),"Money Out")</f>
        <v>Money Out</v>
      </c>
      <c r="D181" s="28" t="str">
        <f>IFERROR(__xludf.DUMMYFUNCTION("""COMPUTED_VALUE"""),"Product Restocking")</f>
        <v>Product Restocking</v>
      </c>
      <c r="E181" s="28"/>
      <c r="F181" s="28"/>
      <c r="G181" s="28">
        <v>-1000.0</v>
      </c>
      <c r="H181" s="28" t="s">
        <v>134</v>
      </c>
      <c r="J181" s="28" t="s">
        <v>134</v>
      </c>
    </row>
    <row r="182">
      <c r="A182" s="112">
        <f>IFERROR(__xludf.DUMMYFUNCTION("""COMPUTED_VALUE"""),45797.0)</f>
        <v>45797</v>
      </c>
      <c r="B182" s="113">
        <f>IFERROR(__xludf.DUMMYFUNCTION("""COMPUTED_VALUE"""),318.0)</f>
        <v>318</v>
      </c>
      <c r="C182" s="28" t="str">
        <f>IFERROR(__xludf.DUMMYFUNCTION("""COMPUTED_VALUE"""),"Money Out")</f>
        <v>Money Out</v>
      </c>
      <c r="D182" s="28" t="str">
        <f>IFERROR(__xludf.DUMMYFUNCTION("""COMPUTED_VALUE"""),"Product Restocking")</f>
        <v>Product Restocking</v>
      </c>
      <c r="E182" s="28"/>
      <c r="F182" s="28"/>
      <c r="G182" s="28">
        <v>-318.0</v>
      </c>
      <c r="H182" s="28" t="s">
        <v>134</v>
      </c>
      <c r="J182" s="28" t="s">
        <v>134</v>
      </c>
    </row>
    <row r="183">
      <c r="A183" s="112">
        <f>IFERROR(__xludf.DUMMYFUNCTION("""COMPUTED_VALUE"""),45804.0)</f>
        <v>45804</v>
      </c>
      <c r="B183" s="113">
        <f>IFERROR(__xludf.DUMMYFUNCTION("""COMPUTED_VALUE"""),350.0)</f>
        <v>350</v>
      </c>
      <c r="C183" s="28" t="str">
        <f>IFERROR(__xludf.DUMMYFUNCTION("""COMPUTED_VALUE"""),"Money Out")</f>
        <v>Money Out</v>
      </c>
      <c r="D183" s="28" t="str">
        <f>IFERROR(__xludf.DUMMYFUNCTION("""COMPUTED_VALUE"""),"Product Restocking")</f>
        <v>Product Restocking</v>
      </c>
      <c r="E183" s="28"/>
      <c r="F183" s="28"/>
      <c r="G183" s="28">
        <v>-350.0</v>
      </c>
      <c r="H183" s="28" t="s">
        <v>134</v>
      </c>
      <c r="J183" s="28" t="s">
        <v>134</v>
      </c>
    </row>
    <row r="184">
      <c r="A184" s="112">
        <f>IFERROR(__xludf.DUMMYFUNCTION("""COMPUTED_VALUE"""),45805.0)</f>
        <v>45805</v>
      </c>
      <c r="B184" s="113">
        <f>IFERROR(__xludf.DUMMYFUNCTION("""COMPUTED_VALUE"""),49.0)</f>
        <v>49</v>
      </c>
      <c r="C184" s="28" t="str">
        <f>IFERROR(__xludf.DUMMYFUNCTION("""COMPUTED_VALUE"""),"Money Out")</f>
        <v>Money Out</v>
      </c>
      <c r="D184" s="28" t="str">
        <f>IFERROR(__xludf.DUMMYFUNCTION("""COMPUTED_VALUE"""),"Product Restocking")</f>
        <v>Product Restocking</v>
      </c>
      <c r="E184" s="28"/>
      <c r="F184" s="28"/>
      <c r="G184" s="28">
        <v>-49.0</v>
      </c>
      <c r="H184" s="28" t="s">
        <v>134</v>
      </c>
      <c r="J184" s="28" t="s">
        <v>134</v>
      </c>
    </row>
    <row r="185">
      <c r="A185" s="112">
        <f>IFERROR(__xludf.DUMMYFUNCTION("""COMPUTED_VALUE"""),45806.0)</f>
        <v>45806</v>
      </c>
      <c r="B185" s="113">
        <f>IFERROR(__xludf.DUMMYFUNCTION("""COMPUTED_VALUE"""),1086.0)</f>
        <v>1086</v>
      </c>
      <c r="C185" s="28" t="str">
        <f>IFERROR(__xludf.DUMMYFUNCTION("""COMPUTED_VALUE"""),"Money Out")</f>
        <v>Money Out</v>
      </c>
      <c r="D185" s="28" t="str">
        <f>IFERROR(__xludf.DUMMYFUNCTION("""COMPUTED_VALUE"""),"Product Restocking")</f>
        <v>Product Restocking</v>
      </c>
      <c r="E185" s="28"/>
      <c r="F185" s="28"/>
      <c r="G185" s="28">
        <v>-1086.0</v>
      </c>
      <c r="H185" s="28" t="s">
        <v>134</v>
      </c>
      <c r="J185" s="28" t="s">
        <v>134</v>
      </c>
    </row>
    <row r="186">
      <c r="A186" s="112">
        <f>IFERROR(__xludf.DUMMYFUNCTION("""COMPUTED_VALUE"""),45806.0)</f>
        <v>45806</v>
      </c>
      <c r="B186" s="113">
        <f>IFERROR(__xludf.DUMMYFUNCTION("""COMPUTED_VALUE"""),5400.0)</f>
        <v>5400</v>
      </c>
      <c r="C186" s="28" t="str">
        <f>IFERROR(__xludf.DUMMYFUNCTION("""COMPUTED_VALUE"""),"Money Out")</f>
        <v>Money Out</v>
      </c>
      <c r="D186" s="28" t="str">
        <f>IFERROR(__xludf.DUMMYFUNCTION("""COMPUTED_VALUE"""),"Rent")</f>
        <v>Rent</v>
      </c>
      <c r="E186" s="28" t="str">
        <f>IFERROR(__xludf.DUMMYFUNCTION("""COMPUTED_VALUE"""),"HTMall")</f>
        <v>HTMall</v>
      </c>
      <c r="F186" s="28" t="str">
        <f>IFERROR(__xludf.DUMMYFUNCTION("""COMPUTED_VALUE"""),"ايجار سته شهور مقدم HTmall")</f>
        <v>ايجار سته شهور مقدم HTmall</v>
      </c>
      <c r="G186" s="28">
        <v>-5400.0</v>
      </c>
      <c r="H186" s="28" t="s">
        <v>137</v>
      </c>
      <c r="J186" s="28" t="s">
        <v>137</v>
      </c>
    </row>
    <row r="187">
      <c r="A187" s="112">
        <f>IFERROR(__xludf.DUMMYFUNCTION("""COMPUTED_VALUE"""),45807.0)</f>
        <v>45807</v>
      </c>
      <c r="B187" s="113">
        <f>IFERROR(__xludf.DUMMYFUNCTION("""COMPUTED_VALUE"""),88.0)</f>
        <v>88</v>
      </c>
      <c r="C187" s="28" t="str">
        <f>IFERROR(__xludf.DUMMYFUNCTION("""COMPUTED_VALUE"""),"Money Out")</f>
        <v>Money Out</v>
      </c>
      <c r="D187" s="28" t="str">
        <f>IFERROR(__xludf.DUMMYFUNCTION("""COMPUTED_VALUE"""),"Product Restocking")</f>
        <v>Product Restocking</v>
      </c>
      <c r="E187" s="28"/>
      <c r="F187" s="28"/>
      <c r="G187" s="28">
        <v>-88.0</v>
      </c>
      <c r="H187" s="28" t="s">
        <v>134</v>
      </c>
      <c r="J187" s="28" t="s">
        <v>134</v>
      </c>
    </row>
    <row r="188">
      <c r="A188" s="112">
        <f>IFERROR(__xludf.DUMMYFUNCTION("""COMPUTED_VALUE"""),45808.0)</f>
        <v>45808</v>
      </c>
      <c r="B188" s="113">
        <f>IFERROR(__xludf.DUMMYFUNCTION("""COMPUTED_VALUE"""),333.0)</f>
        <v>333</v>
      </c>
      <c r="C188" s="28" t="str">
        <f>IFERROR(__xludf.DUMMYFUNCTION("""COMPUTED_VALUE"""),"Money Out")</f>
        <v>Money Out</v>
      </c>
      <c r="D188" s="28" t="str">
        <f>IFERROR(__xludf.DUMMYFUNCTION("""COMPUTED_VALUE"""),"Product Restocking")</f>
        <v>Product Restocking</v>
      </c>
      <c r="E188" s="28"/>
      <c r="F188" s="28"/>
      <c r="G188" s="28">
        <v>-333.0</v>
      </c>
      <c r="H188" s="28" t="s">
        <v>134</v>
      </c>
      <c r="J188" s="28" t="s">
        <v>134</v>
      </c>
    </row>
    <row r="189">
      <c r="A189" s="112">
        <f>IFERROR(__xludf.DUMMYFUNCTION("""COMPUTED_VALUE"""),45808.0)</f>
        <v>45808</v>
      </c>
      <c r="B189" s="113">
        <f>IFERROR(__xludf.DUMMYFUNCTION("""COMPUTED_VALUE"""),2440.0)</f>
        <v>2440</v>
      </c>
      <c r="C189" s="28" t="str">
        <f>IFERROR(__xludf.DUMMYFUNCTION("""COMPUTED_VALUE"""),"Money In")</f>
        <v>Money In</v>
      </c>
      <c r="D189" s="28" t="str">
        <f>IFERROR(__xludf.DUMMYFUNCTION("""COMPUTED_VALUE"""),"Revenue")</f>
        <v>Revenue</v>
      </c>
      <c r="E189" s="28" t="str">
        <f>IFERROR(__xludf.DUMMYFUNCTION("""COMPUTED_VALUE"""),"deplomacyMall")</f>
        <v>deplomacyMall</v>
      </c>
      <c r="F189" s="28"/>
      <c r="G189" s="28">
        <v>2440.0</v>
      </c>
      <c r="H189" s="28" t="s">
        <v>135</v>
      </c>
      <c r="J189" s="28" t="s">
        <v>135</v>
      </c>
    </row>
    <row r="190">
      <c r="A190" s="112">
        <f>IFERROR(__xludf.DUMMYFUNCTION("""COMPUTED_VALUE"""),45808.0)</f>
        <v>45808</v>
      </c>
      <c r="B190" s="113">
        <f>IFERROR(__xludf.DUMMYFUNCTION("""COMPUTED_VALUE"""),1157.0)</f>
        <v>1157</v>
      </c>
      <c r="C190" s="28" t="str">
        <f>IFERROR(__xludf.DUMMYFUNCTION("""COMPUTED_VALUE"""),"Money In")</f>
        <v>Money In</v>
      </c>
      <c r="D190" s="28" t="str">
        <f>IFERROR(__xludf.DUMMYFUNCTION("""COMPUTED_VALUE"""),"Revenue")</f>
        <v>Revenue</v>
      </c>
      <c r="E190" s="28" t="str">
        <f>IFERROR(__xludf.DUMMYFUNCTION("""COMPUTED_VALUE"""),"HTMall")</f>
        <v>HTMall</v>
      </c>
      <c r="F190" s="28"/>
      <c r="G190" s="28">
        <v>1157.0</v>
      </c>
      <c r="H190" s="28" t="s">
        <v>135</v>
      </c>
      <c r="J190" s="28" t="s">
        <v>135</v>
      </c>
    </row>
    <row r="191">
      <c r="A191" s="112">
        <f>IFERROR(__xludf.DUMMYFUNCTION("""COMPUTED_VALUE"""),45809.0)</f>
        <v>45809</v>
      </c>
      <c r="B191" s="113">
        <f>IFERROR(__xludf.DUMMYFUNCTION("""COMPUTED_VALUE"""),3000.0)</f>
        <v>3000</v>
      </c>
      <c r="C191" s="28" t="str">
        <f>IFERROR(__xludf.DUMMYFUNCTION("""COMPUTED_VALUE"""),"Money In")</f>
        <v>Money In</v>
      </c>
      <c r="D191" s="28" t="str">
        <f>IFERROR(__xludf.DUMMYFUNCTION("""COMPUTED_VALUE"""),"ads")</f>
        <v>ads</v>
      </c>
      <c r="E191" s="28" t="str">
        <f>IFERROR(__xludf.DUMMYFUNCTION("""COMPUTED_VALUE"""),"deplomacyMall")</f>
        <v>deplomacyMall</v>
      </c>
      <c r="F191" s="28" t="str">
        <f>IFERROR(__xludf.DUMMYFUNCTION("""COMPUTED_VALUE"""),"دعايه توربو تلاته اشهر ")</f>
        <v>دعايه توربو تلاته اشهر </v>
      </c>
      <c r="G191" s="28">
        <v>3000.0</v>
      </c>
      <c r="H191" s="28" t="s">
        <v>135</v>
      </c>
      <c r="J191" s="28" t="s">
        <v>135</v>
      </c>
    </row>
    <row r="192">
      <c r="A192" s="112">
        <f>IFERROR(__xludf.DUMMYFUNCTION("""COMPUTED_VALUE"""),45810.0)</f>
        <v>45810</v>
      </c>
      <c r="B192" s="113">
        <f>IFERROR(__xludf.DUMMYFUNCTION("""COMPUTED_VALUE"""),1220.0)</f>
        <v>1220</v>
      </c>
      <c r="C192" s="28" t="str">
        <f>IFERROR(__xludf.DUMMYFUNCTION("""COMPUTED_VALUE"""),"Money Out")</f>
        <v>Money Out</v>
      </c>
      <c r="D192" s="28" t="str">
        <f>IFERROR(__xludf.DUMMYFUNCTION("""COMPUTED_VALUE"""),"Product Restocking")</f>
        <v>Product Restocking</v>
      </c>
      <c r="E192" s="28"/>
      <c r="F192" s="28"/>
      <c r="G192" s="28">
        <v>-1220.0</v>
      </c>
      <c r="H192" s="28" t="s">
        <v>134</v>
      </c>
      <c r="J192" s="28" t="s">
        <v>134</v>
      </c>
    </row>
    <row r="193">
      <c r="A193" s="112">
        <f>IFERROR(__xludf.DUMMYFUNCTION("""COMPUTED_VALUE"""),45812.0)</f>
        <v>45812</v>
      </c>
      <c r="B193" s="113">
        <f>IFERROR(__xludf.DUMMYFUNCTION("""COMPUTED_VALUE"""),1771.0)</f>
        <v>1771</v>
      </c>
      <c r="C193" s="28" t="str">
        <f>IFERROR(__xludf.DUMMYFUNCTION("""COMPUTED_VALUE"""),"Money Out")</f>
        <v>Money Out</v>
      </c>
      <c r="D193" s="28" t="str">
        <f>IFERROR(__xludf.DUMMYFUNCTION("""COMPUTED_VALUE"""),"Product Restocking")</f>
        <v>Product Restocking</v>
      </c>
      <c r="E193" s="28"/>
      <c r="F193" s="28"/>
      <c r="G193" s="28">
        <v>-1771.0</v>
      </c>
      <c r="H193" s="28" t="s">
        <v>134</v>
      </c>
      <c r="J193" s="28" t="s">
        <v>134</v>
      </c>
    </row>
    <row r="194">
      <c r="A194" s="112">
        <f>IFERROR(__xludf.DUMMYFUNCTION("""COMPUTED_VALUE"""),45813.0)</f>
        <v>45813</v>
      </c>
      <c r="B194" s="113">
        <f>IFERROR(__xludf.DUMMYFUNCTION("""COMPUTED_VALUE"""),1535.0)</f>
        <v>1535</v>
      </c>
      <c r="C194" s="28" t="str">
        <f>IFERROR(__xludf.DUMMYFUNCTION("""COMPUTED_VALUE"""),"Money In")</f>
        <v>Money In</v>
      </c>
      <c r="D194" s="28" t="str">
        <f>IFERROR(__xludf.DUMMYFUNCTION("""COMPUTED_VALUE"""),"Revenue")</f>
        <v>Revenue</v>
      </c>
      <c r="E194" s="28" t="str">
        <f>IFERROR(__xludf.DUMMYFUNCTION("""COMPUTED_VALUE"""),"HTMall")</f>
        <v>HTMall</v>
      </c>
      <c r="F194" s="28"/>
      <c r="G194" s="28">
        <v>1535.0</v>
      </c>
      <c r="H194" s="28" t="s">
        <v>135</v>
      </c>
      <c r="J194" s="28" t="s">
        <v>135</v>
      </c>
    </row>
    <row r="195">
      <c r="A195" s="112">
        <f>IFERROR(__xludf.DUMMYFUNCTION("""COMPUTED_VALUE"""),45818.0)</f>
        <v>45818</v>
      </c>
      <c r="B195" s="113">
        <f>IFERROR(__xludf.DUMMYFUNCTION("""COMPUTED_VALUE"""),681.0)</f>
        <v>681</v>
      </c>
      <c r="C195" s="28" t="str">
        <f>IFERROR(__xludf.DUMMYFUNCTION("""COMPUTED_VALUE"""),"Money Out")</f>
        <v>Money Out</v>
      </c>
      <c r="D195" s="28" t="str">
        <f>IFERROR(__xludf.DUMMYFUNCTION("""COMPUTED_VALUE"""),"Product Restocking")</f>
        <v>Product Restocking</v>
      </c>
      <c r="E195" s="28"/>
      <c r="F195" s="28"/>
      <c r="G195" s="28">
        <v>-681.0</v>
      </c>
      <c r="H195" s="28" t="s">
        <v>134</v>
      </c>
      <c r="J195" s="28" t="s">
        <v>134</v>
      </c>
    </row>
    <row r="196">
      <c r="A196" s="112">
        <f>IFERROR(__xludf.DUMMYFUNCTION("""COMPUTED_VALUE"""),45819.0)</f>
        <v>45819</v>
      </c>
      <c r="B196" s="113">
        <f>IFERROR(__xludf.DUMMYFUNCTION("""COMPUTED_VALUE"""),398.0)</f>
        <v>398</v>
      </c>
      <c r="C196" s="28" t="str">
        <f>IFERROR(__xludf.DUMMYFUNCTION("""COMPUTED_VALUE"""),"Money Out")</f>
        <v>Money Out</v>
      </c>
      <c r="D196" s="28" t="str">
        <f>IFERROR(__xludf.DUMMYFUNCTION("""COMPUTED_VALUE"""),"Product Restocking")</f>
        <v>Product Restocking</v>
      </c>
      <c r="E196" s="28"/>
      <c r="F196" s="28"/>
      <c r="G196" s="28">
        <v>-398.0</v>
      </c>
      <c r="H196" s="28" t="s">
        <v>134</v>
      </c>
      <c r="J196" s="28" t="s">
        <v>134</v>
      </c>
    </row>
    <row r="197">
      <c r="A197" s="112">
        <f>IFERROR(__xludf.DUMMYFUNCTION("""COMPUTED_VALUE"""),45820.0)</f>
        <v>45820</v>
      </c>
      <c r="B197" s="113">
        <f>IFERROR(__xludf.DUMMYFUNCTION("""COMPUTED_VALUE"""),702.0)</f>
        <v>702</v>
      </c>
      <c r="C197" s="28" t="str">
        <f>IFERROR(__xludf.DUMMYFUNCTION("""COMPUTED_VALUE"""),"Money Out")</f>
        <v>Money Out</v>
      </c>
      <c r="D197" s="28" t="str">
        <f>IFERROR(__xludf.DUMMYFUNCTION("""COMPUTED_VALUE"""),"Product Restocking")</f>
        <v>Product Restocking</v>
      </c>
      <c r="E197" s="28"/>
      <c r="F197" s="28"/>
      <c r="G197" s="28">
        <v>-702.0</v>
      </c>
      <c r="H197" s="28" t="s">
        <v>134</v>
      </c>
      <c r="J197" s="28" t="s">
        <v>134</v>
      </c>
    </row>
    <row r="198">
      <c r="A198" s="112">
        <f>IFERROR(__xludf.DUMMYFUNCTION("""COMPUTED_VALUE"""),45821.0)</f>
        <v>45821</v>
      </c>
      <c r="B198" s="113">
        <f>IFERROR(__xludf.DUMMYFUNCTION("""COMPUTED_VALUE"""),1303.0)</f>
        <v>1303</v>
      </c>
      <c r="C198" s="28" t="str">
        <f>IFERROR(__xludf.DUMMYFUNCTION("""COMPUTED_VALUE"""),"Money In")</f>
        <v>Money In</v>
      </c>
      <c r="D198" s="28" t="str">
        <f>IFERROR(__xludf.DUMMYFUNCTION("""COMPUTED_VALUE"""),"Revenue")</f>
        <v>Revenue</v>
      </c>
      <c r="E198" s="28" t="str">
        <f>IFERROR(__xludf.DUMMYFUNCTION("""COMPUTED_VALUE"""),"HappyLand")</f>
        <v>HappyLand</v>
      </c>
      <c r="F198" s="28"/>
      <c r="G198" s="28">
        <v>1303.0</v>
      </c>
      <c r="H198" s="28" t="s">
        <v>135</v>
      </c>
      <c r="J198" s="28" t="s">
        <v>135</v>
      </c>
    </row>
    <row r="199">
      <c r="A199" s="112">
        <f>IFERROR(__xludf.DUMMYFUNCTION("""COMPUTED_VALUE"""),45821.0)</f>
        <v>45821</v>
      </c>
      <c r="B199" s="113">
        <f>IFERROR(__xludf.DUMMYFUNCTION("""COMPUTED_VALUE"""),2397.0)</f>
        <v>2397</v>
      </c>
      <c r="C199" s="28" t="str">
        <f>IFERROR(__xludf.DUMMYFUNCTION("""COMPUTED_VALUE"""),"Money In")</f>
        <v>Money In</v>
      </c>
      <c r="D199" s="28" t="str">
        <f>IFERROR(__xludf.DUMMYFUNCTION("""COMPUTED_VALUE"""),"Revenue")</f>
        <v>Revenue</v>
      </c>
      <c r="E199" s="28" t="str">
        <f>IFERROR(__xludf.DUMMYFUNCTION("""COMPUTED_VALUE"""),"deplomacyMall")</f>
        <v>deplomacyMall</v>
      </c>
      <c r="F199" s="28"/>
      <c r="G199" s="28">
        <v>2397.0</v>
      </c>
      <c r="H199" s="28" t="s">
        <v>135</v>
      </c>
      <c r="J199" s="28" t="s">
        <v>135</v>
      </c>
    </row>
    <row r="200">
      <c r="A200" s="112">
        <f>IFERROR(__xludf.DUMMYFUNCTION("""COMPUTED_VALUE"""),45821.0)</f>
        <v>45821</v>
      </c>
      <c r="B200" s="113">
        <f>IFERROR(__xludf.DUMMYFUNCTION("""COMPUTED_VALUE"""),3130.0)</f>
        <v>3130</v>
      </c>
      <c r="C200" s="28" t="str">
        <f>IFERROR(__xludf.DUMMYFUNCTION("""COMPUTED_VALUE"""),"Money In")</f>
        <v>Money In</v>
      </c>
      <c r="D200" s="28" t="str">
        <f>IFERROR(__xludf.DUMMYFUNCTION("""COMPUTED_VALUE"""),"Revenue")</f>
        <v>Revenue</v>
      </c>
      <c r="E200" s="28" t="str">
        <f>IFERROR(__xludf.DUMMYFUNCTION("""COMPUTED_VALUE"""),"HTMall")</f>
        <v>HTMall</v>
      </c>
      <c r="F200" s="28"/>
      <c r="G200" s="28">
        <v>3130.0</v>
      </c>
      <c r="H200" s="28" t="s">
        <v>135</v>
      </c>
      <c r="J200" s="28" t="s">
        <v>135</v>
      </c>
    </row>
    <row r="201">
      <c r="A201" s="112">
        <f>IFERROR(__xludf.DUMMYFUNCTION("""COMPUTED_VALUE"""),45822.0)</f>
        <v>45822</v>
      </c>
      <c r="B201" s="113">
        <f>IFERROR(__xludf.DUMMYFUNCTION("""COMPUTED_VALUE"""),250.0)</f>
        <v>250</v>
      </c>
      <c r="C201" s="28" t="str">
        <f>IFERROR(__xludf.DUMMYFUNCTION("""COMPUTED_VALUE"""),"Money Out")</f>
        <v>Money Out</v>
      </c>
      <c r="D201" s="28" t="str">
        <f>IFERROR(__xludf.DUMMYFUNCTION("""COMPUTED_VALUE"""),"Rent")</f>
        <v>Rent</v>
      </c>
      <c r="E201" s="28" t="str">
        <f>IFERROR(__xludf.DUMMYFUNCTION("""COMPUTED_VALUE"""),"deplomacyMall")</f>
        <v>deplomacyMall</v>
      </c>
      <c r="F201" s="28"/>
      <c r="G201" s="28">
        <v>-250.0</v>
      </c>
      <c r="H201" s="28" t="s">
        <v>137</v>
      </c>
      <c r="J201" s="28" t="s">
        <v>137</v>
      </c>
    </row>
    <row r="202">
      <c r="A202" s="112">
        <f>IFERROR(__xludf.DUMMYFUNCTION("""COMPUTED_VALUE"""),45822.0)</f>
        <v>45822</v>
      </c>
      <c r="B202" s="113">
        <f>IFERROR(__xludf.DUMMYFUNCTION("""COMPUTED_VALUE"""),900.0)</f>
        <v>900</v>
      </c>
      <c r="C202" s="28" t="str">
        <f>IFERROR(__xludf.DUMMYFUNCTION("""COMPUTED_VALUE"""),"Money Out")</f>
        <v>Money Out</v>
      </c>
      <c r="D202" s="28" t="str">
        <f>IFERROR(__xludf.DUMMYFUNCTION("""COMPUTED_VALUE"""),"Rent")</f>
        <v>Rent</v>
      </c>
      <c r="E202" s="28" t="str">
        <f>IFERROR(__xludf.DUMMYFUNCTION("""COMPUTED_VALUE"""),"HappyLand")</f>
        <v>HappyLand</v>
      </c>
      <c r="F202" s="28"/>
      <c r="G202" s="28">
        <v>-900.0</v>
      </c>
      <c r="H202" s="28" t="s">
        <v>137</v>
      </c>
      <c r="J202" s="28" t="s">
        <v>137</v>
      </c>
    </row>
    <row r="203">
      <c r="A203" s="112">
        <f>IFERROR(__xludf.DUMMYFUNCTION("""COMPUTED_VALUE"""),45822.0)</f>
        <v>45822</v>
      </c>
      <c r="B203" s="113">
        <f>IFERROR(__xludf.DUMMYFUNCTION("""COMPUTED_VALUE"""),420.0)</f>
        <v>420</v>
      </c>
      <c r="C203" s="28" t="str">
        <f>IFERROR(__xludf.DUMMYFUNCTION("""COMPUTED_VALUE"""),"Money Out")</f>
        <v>Money Out</v>
      </c>
      <c r="D203" s="28" t="str">
        <f>IFERROR(__xludf.DUMMYFUNCTION("""COMPUTED_VALUE"""),"charity")</f>
        <v>charity</v>
      </c>
      <c r="E203" s="28"/>
      <c r="F203" s="28"/>
      <c r="G203" s="28">
        <v>-420.0</v>
      </c>
      <c r="H203" s="28" t="s">
        <v>136</v>
      </c>
      <c r="J203" s="28" t="s">
        <v>136</v>
      </c>
    </row>
    <row r="204">
      <c r="A204" s="112">
        <f>IFERROR(__xludf.DUMMYFUNCTION("""COMPUTED_VALUE"""),45822.0)</f>
        <v>45822</v>
      </c>
      <c r="B204" s="113">
        <f>IFERROR(__xludf.DUMMYFUNCTION("""COMPUTED_VALUE"""),1100.0)</f>
        <v>1100</v>
      </c>
      <c r="C204" s="28" t="str">
        <f>IFERROR(__xludf.DUMMYFUNCTION("""COMPUTED_VALUE"""),"Money Out")</f>
        <v>Money Out</v>
      </c>
      <c r="D204" s="28" t="str">
        <f>IFERROR(__xludf.DUMMYFUNCTION("""COMPUTED_VALUE"""),"Product Restocking")</f>
        <v>Product Restocking</v>
      </c>
      <c r="E204" s="28"/>
      <c r="F204" s="28"/>
      <c r="G204" s="28">
        <v>-1100.0</v>
      </c>
      <c r="H204" s="28" t="s">
        <v>134</v>
      </c>
      <c r="J204" s="28" t="s">
        <v>134</v>
      </c>
    </row>
    <row r="205">
      <c r="A205" s="112">
        <f>IFERROR(__xludf.DUMMYFUNCTION("""COMPUTED_VALUE"""),45759.0)</f>
        <v>45759</v>
      </c>
      <c r="B205" s="113">
        <f>IFERROR(__xludf.DUMMYFUNCTION("""COMPUTED_VALUE"""),550.0)</f>
        <v>550</v>
      </c>
      <c r="C205" s="28" t="str">
        <f>IFERROR(__xludf.DUMMYFUNCTION("""COMPUTED_VALUE"""),"Money Out")</f>
        <v>Money Out</v>
      </c>
      <c r="D205" s="28"/>
      <c r="E205" s="28"/>
      <c r="F205" s="28" t="str">
        <f>IFERROR(__xludf.DUMMYFUNCTION("""COMPUTED_VALUE"""),"تعديل ميزانيه")</f>
        <v>تعديل ميزانيه</v>
      </c>
      <c r="G205" s="28">
        <v>-550.0</v>
      </c>
      <c r="H205" s="28" t="s">
        <v>146</v>
      </c>
      <c r="J205" s="28" t="s">
        <v>146</v>
      </c>
    </row>
    <row r="206">
      <c r="A206" s="112">
        <f>IFERROR(__xludf.DUMMYFUNCTION("""COMPUTED_VALUE"""),45824.0)</f>
        <v>45824</v>
      </c>
      <c r="B206" s="113">
        <f>IFERROR(__xludf.DUMMYFUNCTION("""COMPUTED_VALUE"""),924.0)</f>
        <v>924</v>
      </c>
      <c r="C206" s="28" t="str">
        <f>IFERROR(__xludf.DUMMYFUNCTION("""COMPUTED_VALUE"""),"Money Out")</f>
        <v>Money Out</v>
      </c>
      <c r="D206" s="28" t="str">
        <f>IFERROR(__xludf.DUMMYFUNCTION("""COMPUTED_VALUE"""),"Product Restocking")</f>
        <v>Product Restocking</v>
      </c>
      <c r="E206" s="28"/>
      <c r="F206" s="28"/>
      <c r="G206" s="28">
        <v>-924.0</v>
      </c>
      <c r="H206" s="28" t="s">
        <v>134</v>
      </c>
      <c r="J206" s="28" t="s">
        <v>134</v>
      </c>
    </row>
    <row r="207">
      <c r="A207" s="112">
        <f>IFERROR(__xludf.DUMMYFUNCTION("""COMPUTED_VALUE"""),45824.0)</f>
        <v>45824</v>
      </c>
      <c r="B207" s="113">
        <f>IFERROR(__xludf.DUMMYFUNCTION("""COMPUTED_VALUE"""),1200.0)</f>
        <v>1200</v>
      </c>
      <c r="C207" s="28" t="str">
        <f>IFERROR(__xludf.DUMMYFUNCTION("""COMPUTED_VALUE"""),"Money In")</f>
        <v>Money In</v>
      </c>
      <c r="D207" s="28" t="str">
        <f>IFERROR(__xludf.DUMMYFUNCTION("""COMPUTED_VALUE"""),"Revenue")</f>
        <v>Revenue</v>
      </c>
      <c r="E207" s="28" t="str">
        <f>IFERROR(__xludf.DUMMYFUNCTION("""COMPUTED_VALUE"""),"HappyLand")</f>
        <v>HappyLand</v>
      </c>
      <c r="F207" s="28"/>
      <c r="G207" s="28">
        <v>1200.0</v>
      </c>
      <c r="H207" s="28" t="s">
        <v>135</v>
      </c>
      <c r="J207" s="28" t="s">
        <v>135</v>
      </c>
    </row>
    <row r="208">
      <c r="A208" s="112">
        <f>IFERROR(__xludf.DUMMYFUNCTION("""COMPUTED_VALUE"""),45825.0)</f>
        <v>45825</v>
      </c>
      <c r="B208" s="113">
        <f>IFERROR(__xludf.DUMMYFUNCTION("""COMPUTED_VALUE"""),513.0)</f>
        <v>513</v>
      </c>
      <c r="C208" s="28" t="str">
        <f>IFERROR(__xludf.DUMMYFUNCTION("""COMPUTED_VALUE"""),"Money Out")</f>
        <v>Money Out</v>
      </c>
      <c r="D208" s="28" t="str">
        <f>IFERROR(__xludf.DUMMYFUNCTION("""COMPUTED_VALUE"""),"Product Restocking")</f>
        <v>Product Restocking</v>
      </c>
      <c r="E208" s="28"/>
      <c r="F208" s="28"/>
      <c r="G208" s="28">
        <v>-513.0</v>
      </c>
      <c r="H208" s="28" t="s">
        <v>134</v>
      </c>
      <c r="J208" s="28" t="s">
        <v>134</v>
      </c>
    </row>
    <row r="209">
      <c r="A209" s="112">
        <f>IFERROR(__xludf.DUMMYFUNCTION("""COMPUTED_VALUE"""),45826.0)</f>
        <v>45826</v>
      </c>
      <c r="B209" s="113">
        <f>IFERROR(__xludf.DUMMYFUNCTION("""COMPUTED_VALUE"""),801.0)</f>
        <v>801</v>
      </c>
      <c r="C209" s="28" t="str">
        <f>IFERROR(__xludf.DUMMYFUNCTION("""COMPUTED_VALUE"""),"Money Out")</f>
        <v>Money Out</v>
      </c>
      <c r="D209" s="28" t="str">
        <f>IFERROR(__xludf.DUMMYFUNCTION("""COMPUTED_VALUE"""),"Product Restocking")</f>
        <v>Product Restocking</v>
      </c>
      <c r="E209" s="28"/>
      <c r="F209" s="28"/>
      <c r="G209" s="28">
        <v>-801.0</v>
      </c>
      <c r="H209" s="28" t="s">
        <v>134</v>
      </c>
      <c r="J209" s="28" t="s">
        <v>134</v>
      </c>
    </row>
    <row r="210">
      <c r="A210" s="112">
        <f>IFERROR(__xludf.DUMMYFUNCTION("""COMPUTED_VALUE"""),45827.0)</f>
        <v>45827</v>
      </c>
      <c r="B210" s="113">
        <f>IFERROR(__xludf.DUMMYFUNCTION("""COMPUTED_VALUE"""),896.0)</f>
        <v>896</v>
      </c>
      <c r="C210" s="28" t="str">
        <f>IFERROR(__xludf.DUMMYFUNCTION("""COMPUTED_VALUE"""),"Money Out")</f>
        <v>Money Out</v>
      </c>
      <c r="D210" s="28" t="str">
        <f>IFERROR(__xludf.DUMMYFUNCTION("""COMPUTED_VALUE"""),"Product Restocking")</f>
        <v>Product Restocking</v>
      </c>
      <c r="E210" s="28"/>
      <c r="F210" s="28"/>
      <c r="G210" s="28">
        <v>-896.0</v>
      </c>
      <c r="H210" s="28" t="s">
        <v>134</v>
      </c>
      <c r="J210" s="28" t="s">
        <v>134</v>
      </c>
    </row>
    <row r="211">
      <c r="A211" s="112">
        <f>IFERROR(__xludf.DUMMYFUNCTION("""COMPUTED_VALUE"""),45828.0)</f>
        <v>45828</v>
      </c>
      <c r="B211" s="113">
        <f>IFERROR(__xludf.DUMMYFUNCTION("""COMPUTED_VALUE"""),3435.0)</f>
        <v>3435</v>
      </c>
      <c r="C211" s="28" t="str">
        <f>IFERROR(__xludf.DUMMYFUNCTION("""COMPUTED_VALUE"""),"Money In")</f>
        <v>Money In</v>
      </c>
      <c r="D211" s="28" t="str">
        <f>IFERROR(__xludf.DUMMYFUNCTION("""COMPUTED_VALUE"""),"Revenue")</f>
        <v>Revenue</v>
      </c>
      <c r="E211" s="28" t="str">
        <f>IFERROR(__xludf.DUMMYFUNCTION("""COMPUTED_VALUE"""),"HTMall")</f>
        <v>HTMall</v>
      </c>
      <c r="F211" s="28"/>
      <c r="G211" s="28">
        <v>3435.0</v>
      </c>
      <c r="H211" s="28" t="s">
        <v>135</v>
      </c>
      <c r="J211" s="28" t="s">
        <v>135</v>
      </c>
    </row>
    <row r="212">
      <c r="A212" s="112">
        <f>IFERROR(__xludf.DUMMYFUNCTION("""COMPUTED_VALUE"""),45829.0)</f>
        <v>45829</v>
      </c>
      <c r="B212" s="113">
        <f>IFERROR(__xludf.DUMMYFUNCTION("""COMPUTED_VALUE"""),530.0)</f>
        <v>530</v>
      </c>
      <c r="C212" s="28" t="str">
        <f>IFERROR(__xludf.DUMMYFUNCTION("""COMPUTED_VALUE"""),"Money Out")</f>
        <v>Money Out</v>
      </c>
      <c r="D212" s="28" t="str">
        <f>IFERROR(__xludf.DUMMYFUNCTION("""COMPUTED_VALUE"""),"Product Restocking")</f>
        <v>Product Restocking</v>
      </c>
      <c r="E212" s="28"/>
      <c r="F212" s="28"/>
      <c r="G212" s="28">
        <v>-530.0</v>
      </c>
      <c r="H212" s="28" t="s">
        <v>134</v>
      </c>
      <c r="J212" s="28" t="s">
        <v>134</v>
      </c>
    </row>
    <row r="213">
      <c r="A213" s="112">
        <f>IFERROR(__xludf.DUMMYFUNCTION("""COMPUTED_VALUE"""),45830.0)</f>
        <v>45830</v>
      </c>
      <c r="B213" s="113">
        <f>IFERROR(__xludf.DUMMYFUNCTION("""COMPUTED_VALUE"""),2332.0)</f>
        <v>2332</v>
      </c>
      <c r="C213" s="28" t="str">
        <f>IFERROR(__xludf.DUMMYFUNCTION("""COMPUTED_VALUE"""),"Money In")</f>
        <v>Money In</v>
      </c>
      <c r="D213" s="28" t="str">
        <f>IFERROR(__xludf.DUMMYFUNCTION("""COMPUTED_VALUE"""),"Revenue")</f>
        <v>Revenue</v>
      </c>
      <c r="E213" s="28" t="str">
        <f>IFERROR(__xludf.DUMMYFUNCTION("""COMPUTED_VALUE"""),"deplomacyMall")</f>
        <v>deplomacyMall</v>
      </c>
      <c r="F213" s="28"/>
      <c r="G213" s="28">
        <v>2332.0</v>
      </c>
      <c r="H213" s="28" t="s">
        <v>135</v>
      </c>
      <c r="J213" s="28" t="s">
        <v>135</v>
      </c>
    </row>
    <row r="214">
      <c r="A214" s="112">
        <f>IFERROR(__xludf.DUMMYFUNCTION("""COMPUTED_VALUE"""),45831.0)</f>
        <v>45831</v>
      </c>
      <c r="B214" s="113">
        <f>IFERROR(__xludf.DUMMYFUNCTION("""COMPUTED_VALUE"""),1840.0)</f>
        <v>1840</v>
      </c>
      <c r="C214" s="28" t="str">
        <f>IFERROR(__xludf.DUMMYFUNCTION("""COMPUTED_VALUE"""),"Money Out")</f>
        <v>Money Out</v>
      </c>
      <c r="D214" s="28" t="str">
        <f>IFERROR(__xludf.DUMMYFUNCTION("""COMPUTED_VALUE"""),"charity")</f>
        <v>charity</v>
      </c>
      <c r="E214" s="28"/>
      <c r="F214" s="28"/>
      <c r="G214" s="28">
        <v>-1840.0</v>
      </c>
      <c r="H214" s="28" t="s">
        <v>136</v>
      </c>
      <c r="J214" s="28" t="s">
        <v>136</v>
      </c>
    </row>
    <row r="215">
      <c r="A215" s="112">
        <f>IFERROR(__xludf.DUMMYFUNCTION("""COMPUTED_VALUE"""),45832.0)</f>
        <v>45832</v>
      </c>
      <c r="B215" s="113">
        <f>IFERROR(__xludf.DUMMYFUNCTION("""COMPUTED_VALUE"""),598.0)</f>
        <v>598</v>
      </c>
      <c r="C215" s="28" t="str">
        <f>IFERROR(__xludf.DUMMYFUNCTION("""COMPUTED_VALUE"""),"Money Out")</f>
        <v>Money Out</v>
      </c>
      <c r="D215" s="28" t="str">
        <f>IFERROR(__xludf.DUMMYFUNCTION("""COMPUTED_VALUE"""),"Product Restocking")</f>
        <v>Product Restocking</v>
      </c>
      <c r="E215" s="28"/>
      <c r="F215" s="28"/>
      <c r="G215" s="28">
        <v>-598.0</v>
      </c>
      <c r="H215" s="28" t="s">
        <v>134</v>
      </c>
      <c r="J215" s="28" t="s">
        <v>134</v>
      </c>
    </row>
    <row r="216">
      <c r="A216" s="112">
        <f>IFERROR(__xludf.DUMMYFUNCTION("""COMPUTED_VALUE"""),45833.0)</f>
        <v>45833</v>
      </c>
      <c r="B216" s="113">
        <f>IFERROR(__xludf.DUMMYFUNCTION("""COMPUTED_VALUE"""),595.0)</f>
        <v>595</v>
      </c>
      <c r="C216" s="28" t="str">
        <f>IFERROR(__xludf.DUMMYFUNCTION("""COMPUTED_VALUE"""),"Money Out")</f>
        <v>Money Out</v>
      </c>
      <c r="D216" s="28" t="str">
        <f>IFERROR(__xludf.DUMMYFUNCTION("""COMPUTED_VALUE"""),"Product Restocking")</f>
        <v>Product Restocking</v>
      </c>
      <c r="E216" s="28"/>
      <c r="F216" s="28"/>
      <c r="G216" s="28">
        <v>-595.0</v>
      </c>
      <c r="H216" s="28" t="s">
        <v>134</v>
      </c>
      <c r="J216" s="28" t="s">
        <v>134</v>
      </c>
    </row>
    <row r="217">
      <c r="A217" s="112">
        <f>IFERROR(__xludf.DUMMYFUNCTION("""COMPUTED_VALUE"""),45834.0)</f>
        <v>45834</v>
      </c>
      <c r="B217" s="113">
        <f>IFERROR(__xludf.DUMMYFUNCTION("""COMPUTED_VALUE"""),696.0)</f>
        <v>696</v>
      </c>
      <c r="C217" s="28" t="str">
        <f>IFERROR(__xludf.DUMMYFUNCTION("""COMPUTED_VALUE"""),"Money Out")</f>
        <v>Money Out</v>
      </c>
      <c r="D217" s="28" t="str">
        <f>IFERROR(__xludf.DUMMYFUNCTION("""COMPUTED_VALUE"""),"Product Restocking")</f>
        <v>Product Restocking</v>
      </c>
      <c r="E217" s="28"/>
      <c r="F217" s="28"/>
      <c r="G217" s="28">
        <v>-696.0</v>
      </c>
      <c r="H217" s="28" t="s">
        <v>134</v>
      </c>
      <c r="J217" s="28" t="s">
        <v>134</v>
      </c>
    </row>
    <row r="218">
      <c r="A218" s="112">
        <f>IFERROR(__xludf.DUMMYFUNCTION("""COMPUTED_VALUE"""),45836.0)</f>
        <v>45836</v>
      </c>
      <c r="B218" s="113">
        <f>IFERROR(__xludf.DUMMYFUNCTION("""COMPUTED_VALUE"""),145.0)</f>
        <v>145</v>
      </c>
      <c r="C218" s="28" t="str">
        <f>IFERROR(__xludf.DUMMYFUNCTION("""COMPUTED_VALUE"""),"Money Out")</f>
        <v>Money Out</v>
      </c>
      <c r="D218" s="28" t="str">
        <f>IFERROR(__xludf.DUMMYFUNCTION("""COMPUTED_VALUE"""),"Product Restocking")</f>
        <v>Product Restocking</v>
      </c>
      <c r="E218" s="28"/>
      <c r="F218" s="28"/>
      <c r="G218" s="28">
        <v>-145.0</v>
      </c>
      <c r="H218" s="28" t="s">
        <v>134</v>
      </c>
      <c r="J218" s="28" t="s">
        <v>134</v>
      </c>
    </row>
    <row r="219">
      <c r="A219" s="112">
        <f>IFERROR(__xludf.DUMMYFUNCTION("""COMPUTED_VALUE"""),45838.0)</f>
        <v>45838</v>
      </c>
      <c r="B219" s="113">
        <f>IFERROR(__xludf.DUMMYFUNCTION("""COMPUTED_VALUE"""),207.0)</f>
        <v>207</v>
      </c>
      <c r="C219" s="28" t="str">
        <f>IFERROR(__xludf.DUMMYFUNCTION("""COMPUTED_VALUE"""),"Money Out")</f>
        <v>Money Out</v>
      </c>
      <c r="D219" s="28" t="str">
        <f>IFERROR(__xludf.DUMMYFUNCTION("""COMPUTED_VALUE"""),"Product Restocking")</f>
        <v>Product Restocking</v>
      </c>
      <c r="E219" s="28"/>
      <c r="F219" s="28"/>
      <c r="G219" s="28">
        <v>-207.0</v>
      </c>
      <c r="H219" s="28" t="s">
        <v>134</v>
      </c>
      <c r="J219" s="28" t="s">
        <v>134</v>
      </c>
    </row>
    <row r="220">
      <c r="A220" s="112">
        <f>IFERROR(__xludf.DUMMYFUNCTION("""COMPUTED_VALUE"""),45838.0)</f>
        <v>45838</v>
      </c>
      <c r="B220" s="113">
        <f>IFERROR(__xludf.DUMMYFUNCTION("""COMPUTED_VALUE"""),3313.0)</f>
        <v>3313</v>
      </c>
      <c r="C220" s="28" t="str">
        <f>IFERROR(__xludf.DUMMYFUNCTION("""COMPUTED_VALUE"""),"Money In")</f>
        <v>Money In</v>
      </c>
      <c r="D220" s="28" t="str">
        <f>IFERROR(__xludf.DUMMYFUNCTION("""COMPUTED_VALUE"""),"Revenue")</f>
        <v>Revenue</v>
      </c>
      <c r="E220" s="28" t="str">
        <f>IFERROR(__xludf.DUMMYFUNCTION("""COMPUTED_VALUE"""),"HTMall")</f>
        <v>HTMall</v>
      </c>
      <c r="F220" s="28"/>
      <c r="G220" s="28">
        <v>3313.0</v>
      </c>
      <c r="H220" s="28" t="s">
        <v>135</v>
      </c>
      <c r="J220" s="28" t="s">
        <v>135</v>
      </c>
    </row>
    <row r="221">
      <c r="A221" s="112">
        <f>IFERROR(__xludf.DUMMYFUNCTION("""COMPUTED_VALUE"""),45838.0)</f>
        <v>45838</v>
      </c>
      <c r="B221" s="113">
        <f>IFERROR(__xludf.DUMMYFUNCTION("""COMPUTED_VALUE"""),2467.0)</f>
        <v>2467</v>
      </c>
      <c r="C221" s="28" t="str">
        <f>IFERROR(__xludf.DUMMYFUNCTION("""COMPUTED_VALUE"""),"Money In")</f>
        <v>Money In</v>
      </c>
      <c r="D221" s="28" t="str">
        <f>IFERROR(__xludf.DUMMYFUNCTION("""COMPUTED_VALUE"""),"Revenue")</f>
        <v>Revenue</v>
      </c>
      <c r="E221" s="28" t="str">
        <f>IFERROR(__xludf.DUMMYFUNCTION("""COMPUTED_VALUE"""),"deplomacyMall")</f>
        <v>deplomacyMall</v>
      </c>
      <c r="F221" s="28"/>
      <c r="G221" s="28">
        <v>2467.0</v>
      </c>
      <c r="H221" s="28" t="s">
        <v>135</v>
      </c>
      <c r="J221" s="28" t="s">
        <v>135</v>
      </c>
    </row>
    <row r="222">
      <c r="A222" s="112">
        <f>IFERROR(__xludf.DUMMYFUNCTION("""COMPUTED_VALUE"""),45839.0)</f>
        <v>45839</v>
      </c>
      <c r="B222" s="113">
        <f>IFERROR(__xludf.DUMMYFUNCTION("""COMPUTED_VALUE"""),462.0)</f>
        <v>462</v>
      </c>
      <c r="C222" s="28" t="str">
        <f>IFERROR(__xludf.DUMMYFUNCTION("""COMPUTED_VALUE"""),"Money Out")</f>
        <v>Money Out</v>
      </c>
      <c r="D222" s="28" t="str">
        <f>IFERROR(__xludf.DUMMYFUNCTION("""COMPUTED_VALUE"""),"Product Restocking")</f>
        <v>Product Restocking</v>
      </c>
      <c r="E222" s="28"/>
      <c r="F222" s="28"/>
      <c r="G222" s="28">
        <v>-462.0</v>
      </c>
      <c r="H222" s="28" t="s">
        <v>134</v>
      </c>
      <c r="J222" s="28" t="s">
        <v>134</v>
      </c>
    </row>
    <row r="223">
      <c r="A223" s="112">
        <f>IFERROR(__xludf.DUMMYFUNCTION("""COMPUTED_VALUE"""),45840.0)</f>
        <v>45840</v>
      </c>
      <c r="B223" s="113">
        <f>IFERROR(__xludf.DUMMYFUNCTION("""COMPUTED_VALUE"""),188.0)</f>
        <v>188</v>
      </c>
      <c r="C223" s="28" t="str">
        <f>IFERROR(__xludf.DUMMYFUNCTION("""COMPUTED_VALUE"""),"Money Out")</f>
        <v>Money Out</v>
      </c>
      <c r="D223" s="28" t="str">
        <f>IFERROR(__xludf.DUMMYFUNCTION("""COMPUTED_VALUE"""),"Product Restocking")</f>
        <v>Product Restocking</v>
      </c>
      <c r="E223" s="28"/>
      <c r="F223" s="28"/>
      <c r="G223" s="28">
        <v>-188.0</v>
      </c>
      <c r="H223" s="28" t="s">
        <v>134</v>
      </c>
      <c r="J223" s="28" t="s">
        <v>134</v>
      </c>
    </row>
    <row r="224">
      <c r="A224" s="112">
        <f>IFERROR(__xludf.DUMMYFUNCTION("""COMPUTED_VALUE"""),45841.0)</f>
        <v>45841</v>
      </c>
      <c r="B224" s="113">
        <f>IFERROR(__xludf.DUMMYFUNCTION("""COMPUTED_VALUE"""),870.0)</f>
        <v>870</v>
      </c>
      <c r="C224" s="28" t="str">
        <f>IFERROR(__xludf.DUMMYFUNCTION("""COMPUTED_VALUE"""),"Money Out")</f>
        <v>Money Out</v>
      </c>
      <c r="D224" s="28" t="str">
        <f>IFERROR(__xludf.DUMMYFUNCTION("""COMPUTED_VALUE"""),"Product Restocking")</f>
        <v>Product Restocking</v>
      </c>
      <c r="E224" s="28"/>
      <c r="F224" s="28"/>
      <c r="G224" s="28">
        <v>-870.0</v>
      </c>
      <c r="H224" s="28" t="s">
        <v>134</v>
      </c>
      <c r="J224" s="28" t="s">
        <v>134</v>
      </c>
    </row>
    <row r="225">
      <c r="A225" s="112">
        <f>IFERROR(__xludf.DUMMYFUNCTION("""COMPUTED_VALUE"""),45843.0)</f>
        <v>45843</v>
      </c>
      <c r="B225" s="113">
        <f>IFERROR(__xludf.DUMMYFUNCTION("""COMPUTED_VALUE"""),768.0)</f>
        <v>768</v>
      </c>
      <c r="C225" s="28" t="str">
        <f>IFERROR(__xludf.DUMMYFUNCTION("""COMPUTED_VALUE"""),"Money Out")</f>
        <v>Money Out</v>
      </c>
      <c r="D225" s="28" t="str">
        <f>IFERROR(__xludf.DUMMYFUNCTION("""COMPUTED_VALUE"""),"Product Restocking")</f>
        <v>Product Restocking</v>
      </c>
      <c r="E225" s="28"/>
      <c r="F225" s="28"/>
      <c r="G225" s="28">
        <v>-768.0</v>
      </c>
      <c r="H225" s="28" t="s">
        <v>134</v>
      </c>
      <c r="J225" s="28" t="s">
        <v>134</v>
      </c>
    </row>
    <row r="226">
      <c r="A226" s="112">
        <f>IFERROR(__xludf.DUMMYFUNCTION("""COMPUTED_VALUE"""),45845.0)</f>
        <v>45845</v>
      </c>
      <c r="B226" s="113">
        <f>IFERROR(__xludf.DUMMYFUNCTION("""COMPUTED_VALUE"""),1024.0)</f>
        <v>1024</v>
      </c>
      <c r="C226" s="28" t="str">
        <f>IFERROR(__xludf.DUMMYFUNCTION("""COMPUTED_VALUE"""),"Money Out")</f>
        <v>Money Out</v>
      </c>
      <c r="D226" s="28" t="str">
        <f>IFERROR(__xludf.DUMMYFUNCTION("""COMPUTED_VALUE"""),"Product Restocking")</f>
        <v>Product Restocking</v>
      </c>
      <c r="E226" s="28"/>
      <c r="F226" s="28"/>
      <c r="G226" s="28">
        <v>-1024.0</v>
      </c>
      <c r="H226" s="28" t="s">
        <v>134</v>
      </c>
      <c r="J226" s="28" t="s">
        <v>134</v>
      </c>
    </row>
    <row r="227">
      <c r="A227" s="112">
        <f>IFERROR(__xludf.DUMMYFUNCTION("""COMPUTED_VALUE"""),45847.0)</f>
        <v>45847</v>
      </c>
      <c r="B227" s="113">
        <f>IFERROR(__xludf.DUMMYFUNCTION("""COMPUTED_VALUE"""),12.0)</f>
        <v>12</v>
      </c>
      <c r="C227" s="28" t="str">
        <f>IFERROR(__xludf.DUMMYFUNCTION("""COMPUTED_VALUE"""),"Money Out")</f>
        <v>Money Out</v>
      </c>
      <c r="D227" s="28" t="str">
        <f>IFERROR(__xludf.DUMMYFUNCTION("""COMPUTED_VALUE"""),"Product Restocking")</f>
        <v>Product Restocking</v>
      </c>
      <c r="E227" s="28"/>
      <c r="F227" s="28"/>
      <c r="G227" s="28">
        <v>-12.0</v>
      </c>
      <c r="H227" s="28" t="s">
        <v>134</v>
      </c>
      <c r="J227" s="28" t="s">
        <v>134</v>
      </c>
    </row>
    <row r="228">
      <c r="A228" s="112">
        <f>IFERROR(__xludf.DUMMYFUNCTION("""COMPUTED_VALUE"""),45848.0)</f>
        <v>45848</v>
      </c>
      <c r="B228" s="113">
        <f>IFERROR(__xludf.DUMMYFUNCTION("""COMPUTED_VALUE"""),729.0)</f>
        <v>729</v>
      </c>
      <c r="C228" s="28" t="str">
        <f>IFERROR(__xludf.DUMMYFUNCTION("""COMPUTED_VALUE"""),"Money Out")</f>
        <v>Money Out</v>
      </c>
      <c r="D228" s="28" t="str">
        <f>IFERROR(__xludf.DUMMYFUNCTION("""COMPUTED_VALUE"""),"Product Restocking")</f>
        <v>Product Restocking</v>
      </c>
      <c r="E228" s="28"/>
      <c r="F228" s="28"/>
      <c r="G228" s="28">
        <v>-729.0</v>
      </c>
      <c r="H228" s="28" t="s">
        <v>134</v>
      </c>
      <c r="J228" s="28" t="s">
        <v>134</v>
      </c>
    </row>
    <row r="229">
      <c r="A229" s="112">
        <f>IFERROR(__xludf.DUMMYFUNCTION("""COMPUTED_VALUE"""),45850.0)</f>
        <v>45850</v>
      </c>
      <c r="B229" s="113">
        <f>IFERROR(__xludf.DUMMYFUNCTION("""COMPUTED_VALUE"""),3420.0)</f>
        <v>3420</v>
      </c>
      <c r="C229" s="28" t="str">
        <f>IFERROR(__xludf.DUMMYFUNCTION("""COMPUTED_VALUE"""),"Money In")</f>
        <v>Money In</v>
      </c>
      <c r="D229" s="28" t="str">
        <f>IFERROR(__xludf.DUMMYFUNCTION("""COMPUTED_VALUE"""),"Revenue")</f>
        <v>Revenue</v>
      </c>
      <c r="E229" s="28" t="str">
        <f>IFERROR(__xludf.DUMMYFUNCTION("""COMPUTED_VALUE"""),"HTMall")</f>
        <v>HTMall</v>
      </c>
      <c r="F229" s="28"/>
      <c r="G229" s="28">
        <v>3420.0</v>
      </c>
      <c r="H229" s="28" t="s">
        <v>135</v>
      </c>
      <c r="J229" s="28" t="s">
        <v>135</v>
      </c>
    </row>
    <row r="230">
      <c r="A230" s="112">
        <f>IFERROR(__xludf.DUMMYFUNCTION("""COMPUTED_VALUE"""),45850.0)</f>
        <v>45850</v>
      </c>
      <c r="B230" s="113">
        <f>IFERROR(__xludf.DUMMYFUNCTION("""COMPUTED_VALUE"""),2936.0)</f>
        <v>2936</v>
      </c>
      <c r="C230" s="28" t="str">
        <f>IFERROR(__xludf.DUMMYFUNCTION("""COMPUTED_VALUE"""),"Money In")</f>
        <v>Money In</v>
      </c>
      <c r="D230" s="28" t="str">
        <f>IFERROR(__xludf.DUMMYFUNCTION("""COMPUTED_VALUE"""),"Revenue")</f>
        <v>Revenue</v>
      </c>
      <c r="E230" s="28" t="str">
        <f>IFERROR(__xludf.DUMMYFUNCTION("""COMPUTED_VALUE"""),"deplomacyMall")</f>
        <v>deplomacyMall</v>
      </c>
      <c r="F230" s="28"/>
      <c r="G230" s="28">
        <v>2936.0</v>
      </c>
      <c r="H230" s="28" t="s">
        <v>135</v>
      </c>
      <c r="J230" s="28" t="s">
        <v>135</v>
      </c>
    </row>
    <row r="231">
      <c r="A231" s="112">
        <f>IFERROR(__xludf.DUMMYFUNCTION("""COMPUTED_VALUE"""),45852.0)</f>
        <v>45852</v>
      </c>
      <c r="B231" s="113">
        <f>IFERROR(__xludf.DUMMYFUNCTION("""COMPUTED_VALUE"""),298.0)</f>
        <v>298</v>
      </c>
      <c r="C231" s="28" t="str">
        <f>IFERROR(__xludf.DUMMYFUNCTION("""COMPUTED_VALUE"""),"Money Out")</f>
        <v>Money Out</v>
      </c>
      <c r="D231" s="28" t="str">
        <f>IFERROR(__xludf.DUMMYFUNCTION("""COMPUTED_VALUE"""),"Product Restocking")</f>
        <v>Product Restocking</v>
      </c>
      <c r="E231" s="28"/>
      <c r="F231" s="28"/>
      <c r="G231" s="28">
        <v>-298.0</v>
      </c>
      <c r="H231" s="28" t="s">
        <v>134</v>
      </c>
      <c r="J231" s="28" t="s">
        <v>134</v>
      </c>
    </row>
    <row r="232">
      <c r="A232" s="112">
        <f>IFERROR(__xludf.DUMMYFUNCTION("""COMPUTED_VALUE"""),45853.0)</f>
        <v>45853</v>
      </c>
      <c r="B232" s="113">
        <f>IFERROR(__xludf.DUMMYFUNCTION("""COMPUTED_VALUE"""),1618.0)</f>
        <v>1618</v>
      </c>
      <c r="C232" s="28" t="str">
        <f>IFERROR(__xludf.DUMMYFUNCTION("""COMPUTED_VALUE"""),"Money Out")</f>
        <v>Money Out</v>
      </c>
      <c r="D232" s="28" t="str">
        <f>IFERROR(__xludf.DUMMYFUNCTION("""COMPUTED_VALUE"""),"Product Restocking")</f>
        <v>Product Restocking</v>
      </c>
      <c r="E232" s="28"/>
      <c r="F232" s="28"/>
      <c r="G232" s="28">
        <v>-1618.0</v>
      </c>
      <c r="H232" s="28" t="s">
        <v>134</v>
      </c>
      <c r="J232" s="28" t="s">
        <v>134</v>
      </c>
    </row>
    <row r="233">
      <c r="A233" s="112">
        <f>IFERROR(__xludf.DUMMYFUNCTION("""COMPUTED_VALUE"""),45853.0)</f>
        <v>45853</v>
      </c>
      <c r="B233" s="113">
        <f>IFERROR(__xludf.DUMMYFUNCTION("""COMPUTED_VALUE"""),300.0)</f>
        <v>300</v>
      </c>
      <c r="C233" s="28" t="str">
        <f>IFERROR(__xludf.DUMMYFUNCTION("""COMPUTED_VALUE"""),"Money Out")</f>
        <v>Money Out</v>
      </c>
      <c r="D233" s="28"/>
      <c r="E233" s="28"/>
      <c r="F233" s="28" t="str">
        <f>IFERROR(__xludf.DUMMYFUNCTION("""COMPUTED_VALUE"""),"ونش لنقل الماكينه")</f>
        <v>ونش لنقل الماكينه</v>
      </c>
      <c r="G233" s="28">
        <v>-300.0</v>
      </c>
      <c r="H233" s="28" t="s">
        <v>146</v>
      </c>
      <c r="J233" s="28" t="s">
        <v>146</v>
      </c>
    </row>
    <row r="234">
      <c r="A234" s="112">
        <f>IFERROR(__xludf.DUMMYFUNCTION("""COMPUTED_VALUE"""),45855.0)</f>
        <v>45855</v>
      </c>
      <c r="B234" s="113">
        <f>IFERROR(__xludf.DUMMYFUNCTION("""COMPUTED_VALUE"""),786.0)</f>
        <v>786</v>
      </c>
      <c r="C234" s="28" t="str">
        <f>IFERROR(__xludf.DUMMYFUNCTION("""COMPUTED_VALUE"""),"Money Out")</f>
        <v>Money Out</v>
      </c>
      <c r="D234" s="28" t="str">
        <f>IFERROR(__xludf.DUMMYFUNCTION("""COMPUTED_VALUE"""),"Product Restocking")</f>
        <v>Product Restocking</v>
      </c>
      <c r="E234" s="28"/>
      <c r="F234" s="28"/>
      <c r="G234" s="28">
        <v>-786.0</v>
      </c>
      <c r="H234" s="28" t="s">
        <v>134</v>
      </c>
      <c r="J234" s="28" t="s">
        <v>134</v>
      </c>
    </row>
    <row r="235">
      <c r="A235" s="112">
        <f>IFERROR(__xludf.DUMMYFUNCTION("""COMPUTED_VALUE"""),45857.0)</f>
        <v>45857</v>
      </c>
      <c r="B235" s="113">
        <f>IFERROR(__xludf.DUMMYFUNCTION("""COMPUTED_VALUE"""),563.0)</f>
        <v>563</v>
      </c>
      <c r="C235" s="28" t="str">
        <f>IFERROR(__xludf.DUMMYFUNCTION("""COMPUTED_VALUE"""),"Money Out")</f>
        <v>Money Out</v>
      </c>
      <c r="D235" s="28" t="str">
        <f>IFERROR(__xludf.DUMMYFUNCTION("""COMPUTED_VALUE"""),"Product Restocking")</f>
        <v>Product Restocking</v>
      </c>
      <c r="E235" s="28"/>
      <c r="F235" s="28"/>
      <c r="G235" s="28">
        <v>-563.0</v>
      </c>
      <c r="H235" s="28" t="s">
        <v>134</v>
      </c>
      <c r="J235" s="28" t="s">
        <v>134</v>
      </c>
    </row>
    <row r="236">
      <c r="A236" s="112">
        <f>IFERROR(__xludf.DUMMYFUNCTION("""COMPUTED_VALUE"""),45858.0)</f>
        <v>45858</v>
      </c>
      <c r="B236" s="113">
        <f>IFERROR(__xludf.DUMMYFUNCTION("""COMPUTED_VALUE"""),266.0)</f>
        <v>266</v>
      </c>
      <c r="C236" s="28" t="str">
        <f>IFERROR(__xludf.DUMMYFUNCTION("""COMPUTED_VALUE"""),"Money Out")</f>
        <v>Money Out</v>
      </c>
      <c r="D236" s="28" t="str">
        <f>IFERROR(__xludf.DUMMYFUNCTION("""COMPUTED_VALUE"""),"Product Restocking")</f>
        <v>Product Restocking</v>
      </c>
      <c r="E236" s="28"/>
      <c r="F236" s="28"/>
      <c r="G236" s="28">
        <v>-266.0</v>
      </c>
      <c r="H236" s="28" t="s">
        <v>134</v>
      </c>
      <c r="J236" s="28" t="s">
        <v>134</v>
      </c>
    </row>
    <row r="237">
      <c r="A237" s="112">
        <f>IFERROR(__xludf.DUMMYFUNCTION("""COMPUTED_VALUE"""),45858.0)</f>
        <v>45858</v>
      </c>
      <c r="B237" s="113">
        <f>IFERROR(__xludf.DUMMYFUNCTION("""COMPUTED_VALUE"""),2000.0)</f>
        <v>2000</v>
      </c>
      <c r="C237" s="28" t="str">
        <f>IFERROR(__xludf.DUMMYFUNCTION("""COMPUTED_VALUE"""),"Money Out")</f>
        <v>Money Out</v>
      </c>
      <c r="D237" s="28" t="str">
        <f>IFERROR(__xludf.DUMMYFUNCTION("""COMPUTED_VALUE"""),"charity")</f>
        <v>charity</v>
      </c>
      <c r="E237" s="28"/>
      <c r="F237" s="28"/>
      <c r="G237" s="28">
        <v>-2000.0</v>
      </c>
      <c r="H237" s="28" t="s">
        <v>136</v>
      </c>
      <c r="J237" s="28" t="s">
        <v>136</v>
      </c>
    </row>
    <row r="238">
      <c r="A238" s="112">
        <f>IFERROR(__xludf.DUMMYFUNCTION("""COMPUTED_VALUE"""),45859.0)</f>
        <v>45859</v>
      </c>
      <c r="B238" s="113">
        <f>IFERROR(__xludf.DUMMYFUNCTION("""COMPUTED_VALUE"""),961.0)</f>
        <v>961</v>
      </c>
      <c r="C238" s="28" t="str">
        <f>IFERROR(__xludf.DUMMYFUNCTION("""COMPUTED_VALUE"""),"Money Out")</f>
        <v>Money Out</v>
      </c>
      <c r="D238" s="28" t="str">
        <f>IFERROR(__xludf.DUMMYFUNCTION("""COMPUTED_VALUE"""),"Product Restocking")</f>
        <v>Product Restocking</v>
      </c>
      <c r="E238" s="28"/>
      <c r="F238" s="28"/>
      <c r="G238" s="28">
        <v>-961.0</v>
      </c>
      <c r="H238" s="28" t="s">
        <v>134</v>
      </c>
      <c r="J238" s="28" t="s">
        <v>134</v>
      </c>
    </row>
    <row r="239">
      <c r="A239" s="112">
        <f>IFERROR(__xludf.DUMMYFUNCTION("""COMPUTED_VALUE"""),45860.0)</f>
        <v>45860</v>
      </c>
      <c r="B239" s="113">
        <f>IFERROR(__xludf.DUMMYFUNCTION("""COMPUTED_VALUE"""),622.0)</f>
        <v>622</v>
      </c>
      <c r="C239" s="28" t="str">
        <f>IFERROR(__xludf.DUMMYFUNCTION("""COMPUTED_VALUE"""),"Money Out")</f>
        <v>Money Out</v>
      </c>
      <c r="D239" s="28" t="str">
        <f>IFERROR(__xludf.DUMMYFUNCTION("""COMPUTED_VALUE"""),"Product Restocking")</f>
        <v>Product Restocking</v>
      </c>
      <c r="E239" s="28"/>
      <c r="F239" s="28"/>
      <c r="G239" s="28">
        <v>-622.0</v>
      </c>
      <c r="H239" s="28" t="s">
        <v>134</v>
      </c>
      <c r="J239" s="28" t="s">
        <v>134</v>
      </c>
    </row>
    <row r="240">
      <c r="A240" s="112">
        <f>IFERROR(__xludf.DUMMYFUNCTION("""COMPUTED_VALUE"""),45860.0)</f>
        <v>45860</v>
      </c>
      <c r="B240" s="113">
        <f>IFERROR(__xludf.DUMMYFUNCTION("""COMPUTED_VALUE"""),420.0)</f>
        <v>420</v>
      </c>
      <c r="C240" s="28" t="str">
        <f>IFERROR(__xludf.DUMMYFUNCTION("""COMPUTED_VALUE"""),"Money Out")</f>
        <v>Money Out</v>
      </c>
      <c r="D240" s="28" t="str">
        <f>IFERROR(__xludf.DUMMYFUNCTION("""COMPUTED_VALUE"""),"charity")</f>
        <v>charity</v>
      </c>
      <c r="E240" s="28"/>
      <c r="F240" s="28"/>
      <c r="G240" s="28">
        <v>-420.0</v>
      </c>
      <c r="H240" s="28" t="s">
        <v>136</v>
      </c>
      <c r="J240" s="28" t="s">
        <v>136</v>
      </c>
    </row>
    <row r="241">
      <c r="A241" s="112">
        <f>IFERROR(__xludf.DUMMYFUNCTION("""COMPUTED_VALUE"""),45860.0)</f>
        <v>45860</v>
      </c>
      <c r="B241" s="113">
        <f>IFERROR(__xludf.DUMMYFUNCTION("""COMPUTED_VALUE"""),592.0)</f>
        <v>592</v>
      </c>
      <c r="C241" s="28" t="str">
        <f>IFERROR(__xludf.DUMMYFUNCTION("""COMPUTED_VALUE"""),"Money Out")</f>
        <v>Money Out</v>
      </c>
      <c r="D241" s="28" t="str">
        <f>IFERROR(__xludf.DUMMYFUNCTION("""COMPUTED_VALUE"""),"Product Restocking")</f>
        <v>Product Restocking</v>
      </c>
      <c r="E241" s="28"/>
      <c r="F241" s="28"/>
      <c r="G241" s="28">
        <v>-592.0</v>
      </c>
      <c r="H241" s="28" t="s">
        <v>134</v>
      </c>
      <c r="J241" s="28" t="s">
        <v>134</v>
      </c>
    </row>
    <row r="242">
      <c r="A242" s="112">
        <f>IFERROR(__xludf.DUMMYFUNCTION("""COMPUTED_VALUE"""),45862.0)</f>
        <v>45862</v>
      </c>
      <c r="B242" s="113">
        <f>IFERROR(__xludf.DUMMYFUNCTION("""COMPUTED_VALUE"""),130.0)</f>
        <v>130</v>
      </c>
      <c r="C242" s="28" t="str">
        <f>IFERROR(__xludf.DUMMYFUNCTION("""COMPUTED_VALUE"""),"Money Out")</f>
        <v>Money Out</v>
      </c>
      <c r="D242" s="28" t="str">
        <f>IFERROR(__xludf.DUMMYFUNCTION("""COMPUTED_VALUE"""),"Product Restocking")</f>
        <v>Product Restocking</v>
      </c>
      <c r="E242" s="28"/>
      <c r="F242" s="28"/>
      <c r="G242" s="28">
        <v>-130.0</v>
      </c>
      <c r="H242" s="28" t="s">
        <v>134</v>
      </c>
      <c r="J242" s="28" t="s">
        <v>134</v>
      </c>
    </row>
    <row r="243">
      <c r="A243" s="112">
        <f>IFERROR(__xludf.DUMMYFUNCTION("""COMPUTED_VALUE"""),45863.0)</f>
        <v>45863</v>
      </c>
      <c r="B243" s="113">
        <f>IFERROR(__xludf.DUMMYFUNCTION("""COMPUTED_VALUE"""),3712.0)</f>
        <v>3712</v>
      </c>
      <c r="C243" s="28" t="str">
        <f>IFERROR(__xludf.DUMMYFUNCTION("""COMPUTED_VALUE"""),"Money In")</f>
        <v>Money In</v>
      </c>
      <c r="D243" s="28" t="str">
        <f>IFERROR(__xludf.DUMMYFUNCTION("""COMPUTED_VALUE"""),"Revenue")</f>
        <v>Revenue</v>
      </c>
      <c r="E243" s="28" t="str">
        <f>IFERROR(__xludf.DUMMYFUNCTION("""COMPUTED_VALUE"""),"HTMall")</f>
        <v>HTMall</v>
      </c>
      <c r="F243" s="28"/>
      <c r="G243" s="28">
        <v>3712.0</v>
      </c>
      <c r="H243" s="28" t="s">
        <v>135</v>
      </c>
      <c r="J243" s="28" t="s">
        <v>135</v>
      </c>
    </row>
    <row r="244">
      <c r="A244" s="112">
        <f>IFERROR(__xludf.DUMMYFUNCTION("""COMPUTED_VALUE"""),45864.0)</f>
        <v>45864</v>
      </c>
      <c r="B244" s="113">
        <f>IFERROR(__xludf.DUMMYFUNCTION("""COMPUTED_VALUE"""),341.0)</f>
        <v>341</v>
      </c>
      <c r="C244" s="28" t="str">
        <f>IFERROR(__xludf.DUMMYFUNCTION("""COMPUTED_VALUE"""),"Money Out")</f>
        <v>Money Out</v>
      </c>
      <c r="D244" s="28" t="str">
        <f>IFERROR(__xludf.DUMMYFUNCTION("""COMPUTED_VALUE"""),"Product Restocking")</f>
        <v>Product Restocking</v>
      </c>
      <c r="E244" s="28"/>
      <c r="F244" s="28"/>
      <c r="G244" s="28">
        <v>-341.0</v>
      </c>
      <c r="H244" s="28" t="s">
        <v>134</v>
      </c>
      <c r="J244" s="28" t="s">
        <v>134</v>
      </c>
    </row>
    <row r="245">
      <c r="A245" s="112">
        <f>IFERROR(__xludf.DUMMYFUNCTION("""COMPUTED_VALUE"""),45864.0)</f>
        <v>45864</v>
      </c>
      <c r="B245" s="113">
        <f>IFERROR(__xludf.DUMMYFUNCTION("""COMPUTED_VALUE"""),2279.0)</f>
        <v>2279</v>
      </c>
      <c r="C245" s="28" t="str">
        <f>IFERROR(__xludf.DUMMYFUNCTION("""COMPUTED_VALUE"""),"Money Out")</f>
        <v>Money Out</v>
      </c>
      <c r="D245" s="28"/>
      <c r="E245" s="28"/>
      <c r="F245" s="28" t="str">
        <f>IFERROR(__xludf.DUMMYFUNCTION("""COMPUTED_VALUE"""),"تعديل الميزانيه")</f>
        <v>تعديل الميزانيه</v>
      </c>
      <c r="G245" s="28">
        <v>-2279.0</v>
      </c>
      <c r="H245" s="28" t="s">
        <v>146</v>
      </c>
      <c r="J245" s="28" t="s">
        <v>146</v>
      </c>
    </row>
    <row r="246">
      <c r="A246" s="112">
        <f>IFERROR(__xludf.DUMMYFUNCTION("""COMPUTED_VALUE"""),45865.0)</f>
        <v>45865</v>
      </c>
      <c r="B246" s="113">
        <f>IFERROR(__xludf.DUMMYFUNCTION("""COMPUTED_VALUE"""),3000.0)</f>
        <v>3000</v>
      </c>
      <c r="C246" s="28" t="str">
        <f>IFERROR(__xludf.DUMMYFUNCTION("""COMPUTED_VALUE"""),"Money In")</f>
        <v>Money In</v>
      </c>
      <c r="D246" s="28" t="str">
        <f>IFERROR(__xludf.DUMMYFUNCTION("""COMPUTED_VALUE"""),"ads")</f>
        <v>ads</v>
      </c>
      <c r="E246" s="28" t="str">
        <f>IFERROR(__xludf.DUMMYFUNCTION("""COMPUTED_VALUE"""),"HTMall")</f>
        <v>HTMall</v>
      </c>
      <c r="F246" s="28" t="str">
        <f>IFERROR(__xludf.DUMMYFUNCTION("""COMPUTED_VALUE"""),"دعاية توربو تلاته اشهر")</f>
        <v>دعاية توربو تلاته اشهر</v>
      </c>
      <c r="G246" s="28">
        <v>3000.0</v>
      </c>
      <c r="H246" s="28" t="s">
        <v>135</v>
      </c>
      <c r="J246" s="28" t="s">
        <v>135</v>
      </c>
    </row>
    <row r="247">
      <c r="A247" s="112">
        <f>IFERROR(__xludf.DUMMYFUNCTION("""COMPUTED_VALUE"""),45865.0)</f>
        <v>45865</v>
      </c>
      <c r="B247" s="113">
        <f>IFERROR(__xludf.DUMMYFUNCTION("""COMPUTED_VALUE"""),401.0)</f>
        <v>401</v>
      </c>
      <c r="C247" s="28" t="str">
        <f>IFERROR(__xludf.DUMMYFUNCTION("""COMPUTED_VALUE"""),"Money Out")</f>
        <v>Money Out</v>
      </c>
      <c r="D247" s="28" t="str">
        <f>IFERROR(__xludf.DUMMYFUNCTION("""COMPUTED_VALUE"""),"Product Restocking")</f>
        <v>Product Restocking</v>
      </c>
      <c r="E247" s="28"/>
      <c r="F247" s="28"/>
      <c r="G247" s="28">
        <v>-401.0</v>
      </c>
      <c r="H247" s="28" t="s">
        <v>134</v>
      </c>
      <c r="J247" s="28" t="s">
        <v>134</v>
      </c>
    </row>
    <row r="248">
      <c r="A248" s="112">
        <f>IFERROR(__xludf.DUMMYFUNCTION("""COMPUTED_VALUE"""),45867.0)</f>
        <v>45867</v>
      </c>
      <c r="B248" s="113">
        <f>IFERROR(__xludf.DUMMYFUNCTION("""COMPUTED_VALUE"""),568.0)</f>
        <v>568</v>
      </c>
      <c r="C248" s="28" t="str">
        <f>IFERROR(__xludf.DUMMYFUNCTION("""COMPUTED_VALUE"""),"Money Out")</f>
        <v>Money Out</v>
      </c>
      <c r="D248" s="28" t="str">
        <f>IFERROR(__xludf.DUMMYFUNCTION("""COMPUTED_VALUE"""),"Product Restocking")</f>
        <v>Product Restocking</v>
      </c>
      <c r="E248" s="28"/>
      <c r="F248" s="28"/>
      <c r="G248" s="28">
        <v>-568.0</v>
      </c>
      <c r="H248" s="28" t="s">
        <v>134</v>
      </c>
      <c r="J248" s="28" t="s">
        <v>134</v>
      </c>
    </row>
    <row r="249">
      <c r="A249" s="112">
        <f>IFERROR(__xludf.DUMMYFUNCTION("""COMPUTED_VALUE"""),45869.0)</f>
        <v>45869</v>
      </c>
      <c r="B249" s="113">
        <f>IFERROR(__xludf.DUMMYFUNCTION("""COMPUTED_VALUE"""),3323.0)</f>
        <v>3323</v>
      </c>
      <c r="C249" s="28" t="str">
        <f>IFERROR(__xludf.DUMMYFUNCTION("""COMPUTED_VALUE"""),"Money In")</f>
        <v>Money In</v>
      </c>
      <c r="D249" s="28" t="str">
        <f>IFERROR(__xludf.DUMMYFUNCTION("""COMPUTED_VALUE"""),"Revenue")</f>
        <v>Revenue</v>
      </c>
      <c r="E249" s="28" t="str">
        <f>IFERROR(__xludf.DUMMYFUNCTION("""COMPUTED_VALUE"""),"AlmouasafatHospital")</f>
        <v>AlmouasafatHospital</v>
      </c>
      <c r="F249" s="28"/>
      <c r="G249" s="28">
        <v>3323.0</v>
      </c>
      <c r="H249" s="28" t="s">
        <v>135</v>
      </c>
      <c r="J249" s="28" t="s">
        <v>135</v>
      </c>
    </row>
    <row r="250">
      <c r="A250" s="112">
        <f>IFERROR(__xludf.DUMMYFUNCTION("""COMPUTED_VALUE"""),45869.0)</f>
        <v>45869</v>
      </c>
      <c r="B250" s="113">
        <f>IFERROR(__xludf.DUMMYFUNCTION("""COMPUTED_VALUE"""),1561.0)</f>
        <v>1561</v>
      </c>
      <c r="C250" s="28" t="str">
        <f>IFERROR(__xludf.DUMMYFUNCTION("""COMPUTED_VALUE"""),"Money In")</f>
        <v>Money In</v>
      </c>
      <c r="D250" s="28" t="str">
        <f>IFERROR(__xludf.DUMMYFUNCTION("""COMPUTED_VALUE"""),"Revenue")</f>
        <v>Revenue</v>
      </c>
      <c r="E250" s="28" t="str">
        <f>IFERROR(__xludf.DUMMYFUNCTION("""COMPUTED_VALUE"""),"HTMall")</f>
        <v>HTMall</v>
      </c>
      <c r="F250" s="28"/>
      <c r="G250" s="28">
        <v>1561.0</v>
      </c>
      <c r="H250" s="28" t="s">
        <v>135</v>
      </c>
      <c r="J250" s="28" t="s">
        <v>135</v>
      </c>
    </row>
    <row r="251">
      <c r="A251" s="112">
        <f>IFERROR(__xludf.DUMMYFUNCTION("""COMPUTED_VALUE"""),45869.0)</f>
        <v>45869</v>
      </c>
      <c r="B251" s="113">
        <f>IFERROR(__xludf.DUMMYFUNCTION("""COMPUTED_VALUE"""),4498.0)</f>
        <v>4498</v>
      </c>
      <c r="C251" s="28" t="str">
        <f>IFERROR(__xludf.DUMMYFUNCTION("""COMPUTED_VALUE"""),"Money In")</f>
        <v>Money In</v>
      </c>
      <c r="D251" s="28" t="str">
        <f>IFERROR(__xludf.DUMMYFUNCTION("""COMPUTED_VALUE"""),"Revenue")</f>
        <v>Revenue</v>
      </c>
      <c r="E251" s="28" t="str">
        <f>IFERROR(__xludf.DUMMYFUNCTION("""COMPUTED_VALUE"""),"deplomacyMall")</f>
        <v>deplomacyMall</v>
      </c>
      <c r="F251" s="28"/>
      <c r="G251" s="28">
        <v>4498.0</v>
      </c>
      <c r="H251" s="28" t="s">
        <v>135</v>
      </c>
      <c r="J251" s="28" t="s">
        <v>135</v>
      </c>
    </row>
    <row r="252">
      <c r="A252" s="112">
        <f>IFERROR(__xludf.DUMMYFUNCTION("""COMPUTED_VALUE"""),45870.0)</f>
        <v>45870</v>
      </c>
      <c r="B252" s="113">
        <f>IFERROR(__xludf.DUMMYFUNCTION("""COMPUTED_VALUE"""),188.0)</f>
        <v>188</v>
      </c>
      <c r="C252" s="28" t="str">
        <f>IFERROR(__xludf.DUMMYFUNCTION("""COMPUTED_VALUE"""),"Money Out")</f>
        <v>Money Out</v>
      </c>
      <c r="D252" s="28" t="str">
        <f>IFERROR(__xludf.DUMMYFUNCTION("""COMPUTED_VALUE"""),"Product Restocking")</f>
        <v>Product Restocking</v>
      </c>
      <c r="E252" s="28"/>
      <c r="F252" s="28"/>
      <c r="G252" s="28">
        <v>-188.0</v>
      </c>
      <c r="H252" s="28" t="s">
        <v>134</v>
      </c>
      <c r="J252" s="28" t="s">
        <v>134</v>
      </c>
    </row>
    <row r="253">
      <c r="A253" s="112">
        <f>IFERROR(__xludf.DUMMYFUNCTION("""COMPUTED_VALUE"""),45871.0)</f>
        <v>45871</v>
      </c>
      <c r="B253" s="113">
        <f>IFERROR(__xludf.DUMMYFUNCTION("""COMPUTED_VALUE"""),170.0)</f>
        <v>170</v>
      </c>
      <c r="C253" s="28" t="str">
        <f>IFERROR(__xludf.DUMMYFUNCTION("""COMPUTED_VALUE"""),"Money Out")</f>
        <v>Money Out</v>
      </c>
      <c r="D253" s="28" t="str">
        <f>IFERROR(__xludf.DUMMYFUNCTION("""COMPUTED_VALUE"""),"Anas")</f>
        <v>Anas</v>
      </c>
      <c r="E253" s="28"/>
      <c r="F253" s="28"/>
      <c r="G253" s="28">
        <v>-170.0</v>
      </c>
      <c r="H253" s="28" t="s">
        <v>139</v>
      </c>
      <c r="J253" s="28" t="s">
        <v>139</v>
      </c>
    </row>
    <row r="254">
      <c r="A254" s="112">
        <f>IFERROR(__xludf.DUMMYFUNCTION("""COMPUTED_VALUE"""),45871.0)</f>
        <v>45871</v>
      </c>
      <c r="B254" s="113">
        <f>IFERROR(__xludf.DUMMYFUNCTION("""COMPUTED_VALUE"""),170.0)</f>
        <v>170</v>
      </c>
      <c r="C254" s="28" t="str">
        <f>IFERROR(__xludf.DUMMYFUNCTION("""COMPUTED_VALUE"""),"Money In")</f>
        <v>Money In</v>
      </c>
      <c r="D254" s="28" t="str">
        <f>IFERROR(__xludf.DUMMYFUNCTION("""COMPUTED_VALUE"""),"from snacky")</f>
        <v>from snacky</v>
      </c>
      <c r="E254" s="28"/>
      <c r="F254" s="28"/>
      <c r="G254" s="28">
        <v>170.0</v>
      </c>
      <c r="H254" s="28" t="s">
        <v>146</v>
      </c>
      <c r="J254" s="28" t="s">
        <v>146</v>
      </c>
    </row>
    <row r="255">
      <c r="A255" s="112">
        <f>IFERROR(__xludf.DUMMYFUNCTION("""COMPUTED_VALUE"""),45871.0)</f>
        <v>45871</v>
      </c>
      <c r="B255" s="113">
        <f>IFERROR(__xludf.DUMMYFUNCTION("""COMPUTED_VALUE"""),571.0)</f>
        <v>571</v>
      </c>
      <c r="C255" s="28" t="str">
        <f>IFERROR(__xludf.DUMMYFUNCTION("""COMPUTED_VALUE"""),"Money Out")</f>
        <v>Money Out</v>
      </c>
      <c r="D255" s="28" t="str">
        <f>IFERROR(__xludf.DUMMYFUNCTION("""COMPUTED_VALUE"""),"Product Restocking")</f>
        <v>Product Restocking</v>
      </c>
      <c r="E255" s="28"/>
      <c r="F255" s="28"/>
      <c r="G255" s="28">
        <v>-571.0</v>
      </c>
      <c r="H255" s="28" t="s">
        <v>134</v>
      </c>
      <c r="J255" s="28" t="s">
        <v>134</v>
      </c>
    </row>
    <row r="256">
      <c r="A256" s="112">
        <f>IFERROR(__xludf.DUMMYFUNCTION("""COMPUTED_VALUE"""),45872.0)</f>
        <v>45872</v>
      </c>
      <c r="B256" s="113">
        <f>IFERROR(__xludf.DUMMYFUNCTION("""COMPUTED_VALUE"""),251.0)</f>
        <v>251</v>
      </c>
      <c r="C256" s="28" t="str">
        <f>IFERROR(__xludf.DUMMYFUNCTION("""COMPUTED_VALUE"""),"Money Out")</f>
        <v>Money Out</v>
      </c>
      <c r="D256" s="28" t="str">
        <f>IFERROR(__xludf.DUMMYFUNCTION("""COMPUTED_VALUE"""),"Product Restocking")</f>
        <v>Product Restocking</v>
      </c>
      <c r="E256" s="28"/>
      <c r="F256" s="28"/>
      <c r="G256" s="28">
        <v>-251.0</v>
      </c>
      <c r="H256" s="28" t="s">
        <v>134</v>
      </c>
      <c r="J256" s="28" t="s">
        <v>134</v>
      </c>
    </row>
    <row r="257">
      <c r="A257" s="112">
        <f>IFERROR(__xludf.DUMMYFUNCTION("""COMPUTED_VALUE"""),45873.0)</f>
        <v>45873</v>
      </c>
      <c r="B257" s="113">
        <f>IFERROR(__xludf.DUMMYFUNCTION("""COMPUTED_VALUE"""),352.0)</f>
        <v>352</v>
      </c>
      <c r="C257" s="28" t="str">
        <f>IFERROR(__xludf.DUMMYFUNCTION("""COMPUTED_VALUE"""),"Money Out")</f>
        <v>Money Out</v>
      </c>
      <c r="D257" s="28" t="str">
        <f>IFERROR(__xludf.DUMMYFUNCTION("""COMPUTED_VALUE"""),"Product Restocking")</f>
        <v>Product Restocking</v>
      </c>
      <c r="E257" s="28"/>
      <c r="F257" s="28"/>
      <c r="G257" s="28">
        <v>-352.0</v>
      </c>
      <c r="H257" s="28" t="s">
        <v>134</v>
      </c>
      <c r="J257" s="28" t="s">
        <v>134</v>
      </c>
    </row>
    <row r="258">
      <c r="A258" s="112">
        <f>IFERROR(__xludf.DUMMYFUNCTION("""COMPUTED_VALUE"""),45873.0)</f>
        <v>45873</v>
      </c>
      <c r="B258" s="113">
        <f>IFERROR(__xludf.DUMMYFUNCTION("""COMPUTED_VALUE"""),2007.0)</f>
        <v>2007</v>
      </c>
      <c r="C258" s="28" t="str">
        <f>IFERROR(__xludf.DUMMYFUNCTION("""COMPUTED_VALUE"""),"Money Out")</f>
        <v>Money Out</v>
      </c>
      <c r="D258" s="28"/>
      <c r="E258" s="28"/>
      <c r="F258" s="28" t="str">
        <f>IFERROR(__xludf.DUMMYFUNCTION("""COMPUTED_VALUE"""),"الى تيسير سعر شراء (bill accepter)")</f>
        <v>الى تيسير سعر شراء (bill accepter)</v>
      </c>
      <c r="G258" s="28">
        <v>-2007.0</v>
      </c>
      <c r="H258" s="28" t="s">
        <v>146</v>
      </c>
      <c r="J258" s="28" t="s">
        <v>146</v>
      </c>
    </row>
    <row r="259">
      <c r="A259" s="112">
        <f>IFERROR(__xludf.DUMMYFUNCTION("""COMPUTED_VALUE"""),45874.0)</f>
        <v>45874</v>
      </c>
      <c r="B259" s="113">
        <f>IFERROR(__xludf.DUMMYFUNCTION("""COMPUTED_VALUE"""),707.0)</f>
        <v>707</v>
      </c>
      <c r="C259" s="28" t="str">
        <f>IFERROR(__xludf.DUMMYFUNCTION("""COMPUTED_VALUE"""),"Money Out")</f>
        <v>Money Out</v>
      </c>
      <c r="D259" s="28" t="str">
        <f>IFERROR(__xludf.DUMMYFUNCTION("""COMPUTED_VALUE"""),"Product Restocking")</f>
        <v>Product Restocking</v>
      </c>
      <c r="E259" s="28"/>
      <c r="F259" s="28"/>
      <c r="G259" s="28">
        <v>-707.0</v>
      </c>
      <c r="H259" s="28" t="s">
        <v>134</v>
      </c>
      <c r="J259" s="28" t="s">
        <v>134</v>
      </c>
    </row>
    <row r="260">
      <c r="A260" s="112">
        <f>IFERROR(__xludf.DUMMYFUNCTION("""COMPUTED_VALUE"""),45876.0)</f>
        <v>45876</v>
      </c>
      <c r="B260" s="113">
        <f>IFERROR(__xludf.DUMMYFUNCTION("""COMPUTED_VALUE"""),817.0)</f>
        <v>817</v>
      </c>
      <c r="C260" s="28" t="str">
        <f>IFERROR(__xludf.DUMMYFUNCTION("""COMPUTED_VALUE"""),"Money Out")</f>
        <v>Money Out</v>
      </c>
      <c r="D260" s="28" t="str">
        <f>IFERROR(__xludf.DUMMYFUNCTION("""COMPUTED_VALUE"""),"Product Restocking")</f>
        <v>Product Restocking</v>
      </c>
      <c r="E260" s="28"/>
      <c r="F260" s="28"/>
      <c r="G260" s="28">
        <v>-817.0</v>
      </c>
      <c r="H260" s="28" t="s">
        <v>134</v>
      </c>
      <c r="J260" s="28" t="s">
        <v>134</v>
      </c>
    </row>
    <row r="261">
      <c r="A261" s="112">
        <f>IFERROR(__xludf.DUMMYFUNCTION("""COMPUTED_VALUE"""),45880.0)</f>
        <v>45880</v>
      </c>
      <c r="B261" s="113">
        <f>IFERROR(__xludf.DUMMYFUNCTION("""COMPUTED_VALUE"""),3232.0)</f>
        <v>3232</v>
      </c>
      <c r="C261" s="28" t="str">
        <f>IFERROR(__xludf.DUMMYFUNCTION("""COMPUTED_VALUE"""),"Money In")</f>
        <v>Money In</v>
      </c>
      <c r="D261" s="28" t="str">
        <f>IFERROR(__xludf.DUMMYFUNCTION("""COMPUTED_VALUE"""),"Revenue")</f>
        <v>Revenue</v>
      </c>
      <c r="E261" s="28" t="str">
        <f>IFERROR(__xludf.DUMMYFUNCTION("""COMPUTED_VALUE"""),"HTMall")</f>
        <v>HTMall</v>
      </c>
      <c r="F261" s="28"/>
      <c r="G261" s="28">
        <v>3232.0</v>
      </c>
      <c r="H261" s="28" t="s">
        <v>135</v>
      </c>
      <c r="J261" s="28" t="s">
        <v>135</v>
      </c>
    </row>
    <row r="262">
      <c r="A262" s="112">
        <f>IFERROR(__xludf.DUMMYFUNCTION("""COMPUTED_VALUE"""),45880.0)</f>
        <v>45880</v>
      </c>
      <c r="B262" s="113">
        <f>IFERROR(__xludf.DUMMYFUNCTION("""COMPUTED_VALUE"""),211.0)</f>
        <v>211</v>
      </c>
      <c r="C262" s="28" t="str">
        <f>IFERROR(__xludf.DUMMYFUNCTION("""COMPUTED_VALUE"""),"Money Out")</f>
        <v>Money Out</v>
      </c>
      <c r="D262" s="28" t="str">
        <f>IFERROR(__xludf.DUMMYFUNCTION("""COMPUTED_VALUE"""),"Product Restocking")</f>
        <v>Product Restocking</v>
      </c>
      <c r="E262" s="28"/>
      <c r="F262" s="28"/>
      <c r="G262" s="28">
        <v>-211.0</v>
      </c>
      <c r="H262" s="28" t="s">
        <v>134</v>
      </c>
      <c r="J262" s="28" t="s">
        <v>134</v>
      </c>
    </row>
    <row r="263">
      <c r="A263" s="112">
        <f>IFERROR(__xludf.DUMMYFUNCTION("""COMPUTED_VALUE"""),45881.0)</f>
        <v>45881</v>
      </c>
      <c r="B263" s="113">
        <f>IFERROR(__xludf.DUMMYFUNCTION("""COMPUTED_VALUE"""),774.0)</f>
        <v>774</v>
      </c>
      <c r="C263" s="28" t="str">
        <f>IFERROR(__xludf.DUMMYFUNCTION("""COMPUTED_VALUE"""),"Money Out")</f>
        <v>Money Out</v>
      </c>
      <c r="D263" s="28" t="str">
        <f>IFERROR(__xludf.DUMMYFUNCTION("""COMPUTED_VALUE"""),"Product Restocking")</f>
        <v>Product Restocking</v>
      </c>
      <c r="E263" s="28"/>
      <c r="F263" s="28"/>
      <c r="G263" s="28">
        <v>-774.0</v>
      </c>
      <c r="H263" s="28" t="s">
        <v>134</v>
      </c>
      <c r="J263" s="28" t="s">
        <v>134</v>
      </c>
    </row>
    <row r="264">
      <c r="A264" s="112">
        <f>IFERROR(__xludf.DUMMYFUNCTION("""COMPUTED_VALUE"""),45882.0)</f>
        <v>45882</v>
      </c>
      <c r="B264" s="113">
        <f>IFERROR(__xludf.DUMMYFUNCTION("""COMPUTED_VALUE"""),362.0)</f>
        <v>362</v>
      </c>
      <c r="C264" s="28" t="str">
        <f>IFERROR(__xludf.DUMMYFUNCTION("""COMPUTED_VALUE"""),"Money Out")</f>
        <v>Money Out</v>
      </c>
      <c r="D264" s="28" t="str">
        <f>IFERROR(__xludf.DUMMYFUNCTION("""COMPUTED_VALUE"""),"Product Restocking")</f>
        <v>Product Restocking</v>
      </c>
      <c r="E264" s="28"/>
      <c r="F264" s="28"/>
      <c r="G264" s="28">
        <v>-362.0</v>
      </c>
      <c r="H264" s="28" t="s">
        <v>134</v>
      </c>
      <c r="J264" s="28" t="s">
        <v>134</v>
      </c>
    </row>
    <row r="265">
      <c r="A265" s="112">
        <f>IFERROR(__xludf.DUMMYFUNCTION("""COMPUTED_VALUE"""),45883.0)</f>
        <v>45883</v>
      </c>
      <c r="B265" s="113">
        <f>IFERROR(__xludf.DUMMYFUNCTION("""COMPUTED_VALUE"""),796.0)</f>
        <v>796</v>
      </c>
      <c r="C265" s="28" t="str">
        <f>IFERROR(__xludf.DUMMYFUNCTION("""COMPUTED_VALUE"""),"Money Out")</f>
        <v>Money Out</v>
      </c>
      <c r="D265" s="28" t="str">
        <f>IFERROR(__xludf.DUMMYFUNCTION("""COMPUTED_VALUE"""),"Product Restocking")</f>
        <v>Product Restocking</v>
      </c>
      <c r="E265" s="28"/>
      <c r="F265" s="28"/>
      <c r="G265" s="28">
        <v>-796.0</v>
      </c>
      <c r="H265" s="28" t="s">
        <v>134</v>
      </c>
      <c r="J265" s="28" t="s">
        <v>134</v>
      </c>
    </row>
    <row r="266">
      <c r="A266" s="112">
        <f>IFERROR(__xludf.DUMMYFUNCTION("""COMPUTED_VALUE"""),45885.0)</f>
        <v>45885</v>
      </c>
      <c r="B266" s="113">
        <f>IFERROR(__xludf.DUMMYFUNCTION("""COMPUTED_VALUE"""),442.0)</f>
        <v>442</v>
      </c>
      <c r="C266" s="28" t="str">
        <f>IFERROR(__xludf.DUMMYFUNCTION("""COMPUTED_VALUE"""),"Money Out")</f>
        <v>Money Out</v>
      </c>
      <c r="D266" s="28" t="str">
        <f>IFERROR(__xludf.DUMMYFUNCTION("""COMPUTED_VALUE"""),"Product Restocking")</f>
        <v>Product Restocking</v>
      </c>
      <c r="E266" s="28"/>
      <c r="F266" s="28"/>
      <c r="G266" s="28">
        <v>-442.0</v>
      </c>
      <c r="H266" s="28" t="s">
        <v>134</v>
      </c>
      <c r="J266" s="28" t="s">
        <v>134</v>
      </c>
    </row>
    <row r="267">
      <c r="A267" s="112">
        <f>IFERROR(__xludf.DUMMYFUNCTION("""COMPUTED_VALUE"""),45886.0)</f>
        <v>45886</v>
      </c>
      <c r="B267" s="113">
        <f>IFERROR(__xludf.DUMMYFUNCTION("""COMPUTED_VALUE"""),170.0)</f>
        <v>170</v>
      </c>
      <c r="C267" s="28" t="str">
        <f>IFERROR(__xludf.DUMMYFUNCTION("""COMPUTED_VALUE"""),"Money Out")</f>
        <v>Money Out</v>
      </c>
      <c r="D267" s="28" t="str">
        <f>IFERROR(__xludf.DUMMYFUNCTION("""COMPUTED_VALUE"""),"Product Restocking")</f>
        <v>Product Restocking</v>
      </c>
      <c r="E267" s="28"/>
      <c r="F267" s="28"/>
      <c r="G267" s="28">
        <v>-170.0</v>
      </c>
      <c r="H267" s="28" t="s">
        <v>134</v>
      </c>
      <c r="J267" s="28" t="s">
        <v>134</v>
      </c>
    </row>
    <row r="268">
      <c r="A268" s="112">
        <f>IFERROR(__xludf.DUMMYFUNCTION("""COMPUTED_VALUE"""),45887.0)</f>
        <v>45887</v>
      </c>
      <c r="B268" s="113">
        <f>IFERROR(__xludf.DUMMYFUNCTION("""COMPUTED_VALUE"""),195.0)</f>
        <v>195</v>
      </c>
      <c r="C268" s="28" t="str">
        <f>IFERROR(__xludf.DUMMYFUNCTION("""COMPUTED_VALUE"""),"Money Out")</f>
        <v>Money Out</v>
      </c>
      <c r="D268" s="28" t="str">
        <f>IFERROR(__xludf.DUMMYFUNCTION("""COMPUTED_VALUE"""),"Product Restocking")</f>
        <v>Product Restocking</v>
      </c>
      <c r="E268" s="28"/>
      <c r="F268" s="28"/>
      <c r="G268" s="28">
        <v>-195.0</v>
      </c>
      <c r="H268" s="28" t="s">
        <v>134</v>
      </c>
      <c r="J268" s="28" t="s">
        <v>134</v>
      </c>
    </row>
    <row r="269">
      <c r="A269" s="112">
        <f>IFERROR(__xludf.DUMMYFUNCTION("""COMPUTED_VALUE"""),45888.0)</f>
        <v>45888</v>
      </c>
      <c r="B269" s="113">
        <f>IFERROR(__xludf.DUMMYFUNCTION("""COMPUTED_VALUE"""),641.0)</f>
        <v>641</v>
      </c>
      <c r="C269" s="28" t="str">
        <f>IFERROR(__xludf.DUMMYFUNCTION("""COMPUTED_VALUE"""),"Money Out")</f>
        <v>Money Out</v>
      </c>
      <c r="D269" s="28" t="str">
        <f>IFERROR(__xludf.DUMMYFUNCTION("""COMPUTED_VALUE"""),"Product Restocking")</f>
        <v>Product Restocking</v>
      </c>
      <c r="E269" s="28"/>
      <c r="F269" s="28"/>
      <c r="G269" s="28">
        <v>-641.0</v>
      </c>
      <c r="H269" s="28" t="s">
        <v>134</v>
      </c>
      <c r="J269" s="28" t="s">
        <v>134</v>
      </c>
    </row>
    <row r="270">
      <c r="A270" s="112">
        <f>IFERROR(__xludf.DUMMYFUNCTION("""COMPUTED_VALUE"""),45890.0)</f>
        <v>45890</v>
      </c>
      <c r="B270" s="113">
        <f>IFERROR(__xludf.DUMMYFUNCTION("""COMPUTED_VALUE"""),1264.0)</f>
        <v>1264</v>
      </c>
      <c r="C270" s="28" t="str">
        <f>IFERROR(__xludf.DUMMYFUNCTION("""COMPUTED_VALUE"""),"Money Out")</f>
        <v>Money Out</v>
      </c>
      <c r="D270" s="28" t="str">
        <f>IFERROR(__xludf.DUMMYFUNCTION("""COMPUTED_VALUE"""),"Product Restocking")</f>
        <v>Product Restocking</v>
      </c>
      <c r="E270" s="28"/>
      <c r="F270" s="28"/>
      <c r="G270" s="28">
        <v>-1264.0</v>
      </c>
      <c r="H270" s="28" t="s">
        <v>134</v>
      </c>
      <c r="J270" s="28" t="s">
        <v>134</v>
      </c>
    </row>
    <row r="271">
      <c r="A271" s="112">
        <f>IFERROR(__xludf.DUMMYFUNCTION("""COMPUTED_VALUE"""),45892.0)</f>
        <v>45892</v>
      </c>
      <c r="B271" s="113">
        <f>IFERROR(__xludf.DUMMYFUNCTION("""COMPUTED_VALUE"""),332.0)</f>
        <v>332</v>
      </c>
      <c r="C271" s="28" t="str">
        <f>IFERROR(__xludf.DUMMYFUNCTION("""COMPUTED_VALUE"""),"Money Out")</f>
        <v>Money Out</v>
      </c>
      <c r="D271" s="28" t="str">
        <f>IFERROR(__xludf.DUMMYFUNCTION("""COMPUTED_VALUE"""),"Product Restocking")</f>
        <v>Product Restocking</v>
      </c>
      <c r="E271" s="28"/>
      <c r="F271" s="28"/>
      <c r="G271" s="28">
        <v>-332.0</v>
      </c>
      <c r="H271" s="28" t="s">
        <v>134</v>
      </c>
      <c r="J271" s="28" t="s">
        <v>134</v>
      </c>
    </row>
    <row r="272">
      <c r="A272" s="112">
        <f>IFERROR(__xludf.DUMMYFUNCTION("""COMPUTED_VALUE"""),45892.0)</f>
        <v>45892</v>
      </c>
      <c r="B272" s="113">
        <f>IFERROR(__xludf.DUMMYFUNCTION("""COMPUTED_VALUE"""),4345.0)</f>
        <v>4345</v>
      </c>
      <c r="C272" s="28" t="str">
        <f>IFERROR(__xludf.DUMMYFUNCTION("""COMPUTED_VALUE"""),"Money In")</f>
        <v>Money In</v>
      </c>
      <c r="D272" s="28" t="str">
        <f>IFERROR(__xludf.DUMMYFUNCTION("""COMPUTED_VALUE"""),"Revenue")</f>
        <v>Revenue</v>
      </c>
      <c r="E272" s="28" t="str">
        <f>IFERROR(__xludf.DUMMYFUNCTION("""COMPUTED_VALUE"""),"deplomacyMall")</f>
        <v>deplomacyMall</v>
      </c>
      <c r="F272" s="28"/>
      <c r="G272" s="28">
        <v>4345.0</v>
      </c>
      <c r="H272" s="28" t="s">
        <v>135</v>
      </c>
      <c r="J272" s="28" t="s">
        <v>135</v>
      </c>
    </row>
    <row r="273">
      <c r="A273" s="112">
        <f>IFERROR(__xludf.DUMMYFUNCTION("""COMPUTED_VALUE"""),45895.0)</f>
        <v>45895</v>
      </c>
      <c r="B273" s="113">
        <f>IFERROR(__xludf.DUMMYFUNCTION("""COMPUTED_VALUE"""),210.0)</f>
        <v>210</v>
      </c>
      <c r="C273" s="28" t="str">
        <f>IFERROR(__xludf.DUMMYFUNCTION("""COMPUTED_VALUE"""),"Money Out")</f>
        <v>Money Out</v>
      </c>
      <c r="D273" s="28" t="str">
        <f>IFERROR(__xludf.DUMMYFUNCTION("""COMPUTED_VALUE"""),"Product Restocking")</f>
        <v>Product Restocking</v>
      </c>
      <c r="E273" s="28"/>
      <c r="F273" s="28"/>
      <c r="G273" s="28">
        <v>-210.0</v>
      </c>
      <c r="H273" s="28" t="s">
        <v>134</v>
      </c>
      <c r="J273" s="28" t="s">
        <v>134</v>
      </c>
    </row>
    <row r="274">
      <c r="A274" s="112">
        <f>IFERROR(__xludf.DUMMYFUNCTION("""COMPUTED_VALUE"""),45896.0)</f>
        <v>45896</v>
      </c>
      <c r="B274" s="113">
        <f>IFERROR(__xludf.DUMMYFUNCTION("""COMPUTED_VALUE"""),4668.0)</f>
        <v>4668</v>
      </c>
      <c r="C274" s="28" t="str">
        <f>IFERROR(__xludf.DUMMYFUNCTION("""COMPUTED_VALUE"""),"Money In")</f>
        <v>Money In</v>
      </c>
      <c r="D274" s="28" t="str">
        <f>IFERROR(__xludf.DUMMYFUNCTION("""COMPUTED_VALUE"""),"Revenue")</f>
        <v>Revenue</v>
      </c>
      <c r="E274" s="28" t="str">
        <f>IFERROR(__xludf.DUMMYFUNCTION("""COMPUTED_VALUE"""),"AlmouasafatHospital")</f>
        <v>AlmouasafatHospital</v>
      </c>
      <c r="F274" s="28"/>
      <c r="G274" s="28">
        <v>4668.0</v>
      </c>
      <c r="H274" s="28" t="s">
        <v>135</v>
      </c>
      <c r="J274" s="28" t="s">
        <v>135</v>
      </c>
    </row>
    <row r="275">
      <c r="A275" s="112">
        <f>IFERROR(__xludf.DUMMYFUNCTION("""COMPUTED_VALUE"""),45897.0)</f>
        <v>45897</v>
      </c>
      <c r="B275" s="113">
        <f>IFERROR(__xludf.DUMMYFUNCTION("""COMPUTED_VALUE"""),591.0)</f>
        <v>591</v>
      </c>
      <c r="C275" s="28" t="str">
        <f>IFERROR(__xludf.DUMMYFUNCTION("""COMPUTED_VALUE"""),"Money Out")</f>
        <v>Money Out</v>
      </c>
      <c r="D275" s="28" t="str">
        <f>IFERROR(__xludf.DUMMYFUNCTION("""COMPUTED_VALUE"""),"Product Restocking")</f>
        <v>Product Restocking</v>
      </c>
      <c r="E275" s="28"/>
      <c r="F275" s="28"/>
      <c r="G275" s="28">
        <v>-591.0</v>
      </c>
      <c r="H275" s="28" t="s">
        <v>134</v>
      </c>
      <c r="J275" s="28" t="s">
        <v>134</v>
      </c>
    </row>
    <row r="276">
      <c r="A276" s="112">
        <f>IFERROR(__xludf.DUMMYFUNCTION("""COMPUTED_VALUE"""),45897.0)</f>
        <v>45897</v>
      </c>
      <c r="B276" s="113">
        <f>IFERROR(__xludf.DUMMYFUNCTION("""COMPUTED_VALUE"""),3276.0)</f>
        <v>3276</v>
      </c>
      <c r="C276" s="28" t="str">
        <f>IFERROR(__xludf.DUMMYFUNCTION("""COMPUTED_VALUE"""),"Money In")</f>
        <v>Money In</v>
      </c>
      <c r="D276" s="28" t="str">
        <f>IFERROR(__xludf.DUMMYFUNCTION("""COMPUTED_VALUE"""),"Revenue")</f>
        <v>Revenue</v>
      </c>
      <c r="E276" s="28" t="str">
        <f>IFERROR(__xludf.DUMMYFUNCTION("""COMPUTED_VALUE"""),"HTMall")</f>
        <v>HTMall</v>
      </c>
      <c r="F276" s="28"/>
      <c r="G276" s="28">
        <v>3276.0</v>
      </c>
      <c r="H276" s="28" t="s">
        <v>135</v>
      </c>
      <c r="J276" s="28" t="s">
        <v>135</v>
      </c>
    </row>
    <row r="277">
      <c r="A277" s="112">
        <f>IFERROR(__xludf.DUMMYFUNCTION("""COMPUTED_VALUE"""),45897.0)</f>
        <v>45897</v>
      </c>
      <c r="B277" s="113">
        <f>IFERROR(__xludf.DUMMYFUNCTION("""COMPUTED_VALUE"""),4349.0)</f>
        <v>4349</v>
      </c>
      <c r="C277" s="28" t="str">
        <f>IFERROR(__xludf.DUMMYFUNCTION("""COMPUTED_VALUE"""),"Money Out")</f>
        <v>Money Out</v>
      </c>
      <c r="D277" s="28"/>
      <c r="E277" s="28"/>
      <c r="F277" s="28" t="str">
        <f>IFERROR(__xludf.DUMMYFUNCTION("""COMPUTED_VALUE"""),"تعديل ميزانيه ")</f>
        <v>تعديل ميزانيه </v>
      </c>
      <c r="G277" s="28">
        <v>-4349.0</v>
      </c>
      <c r="H277" s="28" t="s">
        <v>146</v>
      </c>
      <c r="J277" s="28" t="s">
        <v>146</v>
      </c>
    </row>
    <row r="278">
      <c r="A278" s="112">
        <f>IFERROR(__xludf.DUMMYFUNCTION("""COMPUTED_VALUE"""),45898.0)</f>
        <v>45898</v>
      </c>
      <c r="B278" s="113">
        <f>IFERROR(__xludf.DUMMYFUNCTION("""COMPUTED_VALUE"""),176.0)</f>
        <v>176</v>
      </c>
      <c r="C278" s="28" t="str">
        <f>IFERROR(__xludf.DUMMYFUNCTION("""COMPUTED_VALUE"""),"Money Out")</f>
        <v>Money Out</v>
      </c>
      <c r="D278" s="28" t="str">
        <f>IFERROR(__xludf.DUMMYFUNCTION("""COMPUTED_VALUE"""),"Product Restocking")</f>
        <v>Product Restocking</v>
      </c>
      <c r="E278" s="28"/>
      <c r="F278" s="28"/>
      <c r="G278" s="28">
        <v>-176.0</v>
      </c>
      <c r="H278" s="28" t="s">
        <v>134</v>
      </c>
      <c r="J278" s="28" t="s">
        <v>134</v>
      </c>
    </row>
    <row r="279">
      <c r="A279" s="112">
        <f>IFERROR(__xludf.DUMMYFUNCTION("""COMPUTED_VALUE"""),45899.0)</f>
        <v>45899</v>
      </c>
      <c r="B279" s="113">
        <f>IFERROR(__xludf.DUMMYFUNCTION("""COMPUTED_VALUE"""),237.0)</f>
        <v>237</v>
      </c>
      <c r="C279" s="28" t="str">
        <f>IFERROR(__xludf.DUMMYFUNCTION("""COMPUTED_VALUE"""),"Money Out")</f>
        <v>Money Out</v>
      </c>
      <c r="D279" s="28" t="str">
        <f>IFERROR(__xludf.DUMMYFUNCTION("""COMPUTED_VALUE"""),"Product Restocking")</f>
        <v>Product Restocking</v>
      </c>
      <c r="E279" s="28"/>
      <c r="F279" s="28"/>
      <c r="G279" s="28">
        <v>-237.0</v>
      </c>
      <c r="H279" s="28" t="s">
        <v>134</v>
      </c>
      <c r="J279" s="28" t="s">
        <v>134</v>
      </c>
    </row>
    <row r="280">
      <c r="A280" s="112">
        <f>IFERROR(__xludf.DUMMYFUNCTION("""COMPUTED_VALUE"""),45900.0)</f>
        <v>45900</v>
      </c>
      <c r="B280" s="113">
        <f>IFERROR(__xludf.DUMMYFUNCTION("""COMPUTED_VALUE"""),554.0)</f>
        <v>554</v>
      </c>
      <c r="C280" s="28" t="str">
        <f>IFERROR(__xludf.DUMMYFUNCTION("""COMPUTED_VALUE"""),"Money Out")</f>
        <v>Money Out</v>
      </c>
      <c r="D280" s="28" t="str">
        <f>IFERROR(__xludf.DUMMYFUNCTION("""COMPUTED_VALUE"""),"Product Restocking")</f>
        <v>Product Restocking</v>
      </c>
      <c r="E280" s="28"/>
      <c r="F280" s="28"/>
      <c r="G280" s="28">
        <v>-554.0</v>
      </c>
      <c r="H280" s="28" t="s">
        <v>134</v>
      </c>
      <c r="J280" s="28" t="s">
        <v>134</v>
      </c>
    </row>
    <row r="281">
      <c r="A281" s="112">
        <f>IFERROR(__xludf.DUMMYFUNCTION("""COMPUTED_VALUE"""),45900.0)</f>
        <v>45900</v>
      </c>
      <c r="B281" s="113">
        <f>IFERROR(__xludf.DUMMYFUNCTION("""COMPUTED_VALUE"""),960.0)</f>
        <v>960</v>
      </c>
      <c r="C281" s="28" t="str">
        <f>IFERROR(__xludf.DUMMYFUNCTION("""COMPUTED_VALUE"""),"Money In")</f>
        <v>Money In</v>
      </c>
      <c r="D281" s="28" t="str">
        <f>IFERROR(__xludf.DUMMYFUNCTION("""COMPUTED_VALUE"""),"Revenue")</f>
        <v>Revenue</v>
      </c>
      <c r="E281" s="28" t="str">
        <f>IFERROR(__xludf.DUMMYFUNCTION("""COMPUTED_VALUE"""),"AlmouasafatHospital")</f>
        <v>AlmouasafatHospital</v>
      </c>
      <c r="F281" s="28"/>
      <c r="G281" s="28">
        <v>960.0</v>
      </c>
      <c r="H281" s="28" t="s">
        <v>135</v>
      </c>
      <c r="J281" s="28" t="s">
        <v>135</v>
      </c>
    </row>
    <row r="282">
      <c r="A282" s="112">
        <f>IFERROR(__xludf.DUMMYFUNCTION("""COMPUTED_VALUE"""),45900.0)</f>
        <v>45900</v>
      </c>
      <c r="B282" s="113">
        <f>IFERROR(__xludf.DUMMYFUNCTION("""COMPUTED_VALUE"""),1277.0)</f>
        <v>1277</v>
      </c>
      <c r="C282" s="28" t="str">
        <f>IFERROR(__xludf.DUMMYFUNCTION("""COMPUTED_VALUE"""),"Money In")</f>
        <v>Money In</v>
      </c>
      <c r="D282" s="28" t="str">
        <f>IFERROR(__xludf.DUMMYFUNCTION("""COMPUTED_VALUE"""),"Revenue")</f>
        <v>Revenue</v>
      </c>
      <c r="E282" s="28" t="str">
        <f>IFERROR(__xludf.DUMMYFUNCTION("""COMPUTED_VALUE"""),"deplomacyMall")</f>
        <v>deplomacyMall</v>
      </c>
      <c r="F282" s="28"/>
      <c r="G282" s="28">
        <v>1277.0</v>
      </c>
      <c r="H282" s="28" t="s">
        <v>135</v>
      </c>
      <c r="J282" s="28" t="s">
        <v>135</v>
      </c>
    </row>
    <row r="283">
      <c r="A283" s="112">
        <f>IFERROR(__xludf.DUMMYFUNCTION("""COMPUTED_VALUE"""),45900.0)</f>
        <v>45900</v>
      </c>
      <c r="B283" s="113">
        <f>IFERROR(__xludf.DUMMYFUNCTION("""COMPUTED_VALUE"""),1992.0)</f>
        <v>1992</v>
      </c>
      <c r="C283" s="28" t="str">
        <f>IFERROR(__xludf.DUMMYFUNCTION("""COMPUTED_VALUE"""),"Money In")</f>
        <v>Money In</v>
      </c>
      <c r="D283" s="28" t="str">
        <f>IFERROR(__xludf.DUMMYFUNCTION("""COMPUTED_VALUE"""),"Revenue")</f>
        <v>Revenue</v>
      </c>
      <c r="E283" s="28" t="str">
        <f>IFERROR(__xludf.DUMMYFUNCTION("""COMPUTED_VALUE"""),"HTMall")</f>
        <v>HTMall</v>
      </c>
      <c r="F283" s="28"/>
      <c r="G283" s="28">
        <v>1992.0</v>
      </c>
      <c r="H283" s="28" t="s">
        <v>135</v>
      </c>
      <c r="J283" s="28" t="s">
        <v>135</v>
      </c>
    </row>
    <row r="284">
      <c r="A284" s="112">
        <f>IFERROR(__xludf.DUMMYFUNCTION("""COMPUTED_VALUE"""),45901.0)</f>
        <v>45901</v>
      </c>
      <c r="B284" s="113"/>
      <c r="C284" s="28"/>
      <c r="D284" s="28"/>
      <c r="E284" s="28"/>
      <c r="F284" s="28"/>
      <c r="G284" s="28">
        <v>0.0</v>
      </c>
      <c r="H284" s="28" t="s">
        <v>146</v>
      </c>
      <c r="J284" s="28" t="s">
        <v>146</v>
      </c>
    </row>
    <row r="285">
      <c r="A285" s="112">
        <f>IFERROR(__xludf.DUMMYFUNCTION("""COMPUTED_VALUE"""),45901.0)</f>
        <v>45901</v>
      </c>
      <c r="B285" s="113">
        <f>IFERROR(__xludf.DUMMYFUNCTION("""COMPUTED_VALUE"""),685.0)</f>
        <v>685</v>
      </c>
      <c r="C285" s="28" t="str">
        <f>IFERROR(__xludf.DUMMYFUNCTION("""COMPUTED_VALUE"""),"Money In")</f>
        <v>Money In</v>
      </c>
      <c r="D285" s="28" t="str">
        <f>IFERROR(__xludf.DUMMYFUNCTION("""COMPUTED_VALUE"""),"Revenue")</f>
        <v>Revenue</v>
      </c>
      <c r="E285" s="28" t="str">
        <f>IFERROR(__xludf.DUMMYFUNCTION("""COMPUTED_VALUE"""),"deplomacyMall")</f>
        <v>deplomacyMall</v>
      </c>
      <c r="F285" s="28"/>
      <c r="G285" s="28">
        <v>685.0</v>
      </c>
      <c r="H285" s="28" t="s">
        <v>135</v>
      </c>
      <c r="J285" s="28" t="s">
        <v>135</v>
      </c>
    </row>
    <row r="286">
      <c r="A286" s="112">
        <f>IFERROR(__xludf.DUMMYFUNCTION("""COMPUTED_VALUE"""),45901.0)</f>
        <v>45901</v>
      </c>
      <c r="B286" s="113">
        <f>IFERROR(__xludf.DUMMYFUNCTION("""COMPUTED_VALUE"""),6000.0)</f>
        <v>6000</v>
      </c>
      <c r="C286" s="28" t="str">
        <f>IFERROR(__xludf.DUMMYFUNCTION("""COMPUTED_VALUE"""),"Money In")</f>
        <v>Money In</v>
      </c>
      <c r="D286" s="28" t="str">
        <f>IFERROR(__xludf.DUMMYFUNCTION("""COMPUTED_VALUE"""),"ads")</f>
        <v>ads</v>
      </c>
      <c r="E286" s="28" t="str">
        <f>IFERROR(__xludf.DUMMYFUNCTION("""COMPUTED_VALUE"""),"HTMall")</f>
        <v>HTMall</v>
      </c>
      <c r="F286" s="28" t="str">
        <f>IFERROR(__xludf.DUMMYFUNCTION("""COMPUTED_VALUE"""),"دعاية توربو الى شهر 3/2026")</f>
        <v>دعاية توربو الى شهر 3/2026</v>
      </c>
      <c r="G286" s="28">
        <v>6000.0</v>
      </c>
      <c r="H286" s="28" t="s">
        <v>135</v>
      </c>
      <c r="J286" s="28" t="s">
        <v>135</v>
      </c>
    </row>
    <row r="287">
      <c r="A287" s="112">
        <f>IFERROR(__xludf.DUMMYFUNCTION("""COMPUTED_VALUE"""),45901.0)</f>
        <v>45901</v>
      </c>
      <c r="B287" s="113">
        <f>IFERROR(__xludf.DUMMYFUNCTION("""COMPUTED_VALUE"""),4000.0)</f>
        <v>4000</v>
      </c>
      <c r="C287" s="28" t="str">
        <f>IFERROR(__xludf.DUMMYFUNCTION("""COMPUTED_VALUE"""),"Money In")</f>
        <v>Money In</v>
      </c>
      <c r="D287" s="28" t="str">
        <f>IFERROR(__xludf.DUMMYFUNCTION("""COMPUTED_VALUE"""),"ads")</f>
        <v>ads</v>
      </c>
      <c r="E287" s="28" t="str">
        <f>IFERROR(__xludf.DUMMYFUNCTION("""COMPUTED_VALUE"""),"deplomacyMall")</f>
        <v>deplomacyMall</v>
      </c>
      <c r="F287" s="28" t="str">
        <f>IFERROR(__xludf.DUMMYFUNCTION("""COMPUTED_VALUE"""),"دعاية توربو الى شهر 3/2026")</f>
        <v>دعاية توربو الى شهر 3/2026</v>
      </c>
      <c r="G287" s="28">
        <v>4000.0</v>
      </c>
      <c r="H287" s="28" t="s">
        <v>135</v>
      </c>
      <c r="J287" s="28" t="s">
        <v>135</v>
      </c>
    </row>
    <row r="288">
      <c r="A288" s="112">
        <f>IFERROR(__xludf.DUMMYFUNCTION("""COMPUTED_VALUE"""),45902.0)</f>
        <v>45902</v>
      </c>
      <c r="B288" s="113">
        <f>IFERROR(__xludf.DUMMYFUNCTION("""COMPUTED_VALUE"""),670.0)</f>
        <v>670</v>
      </c>
      <c r="C288" s="28" t="str">
        <f>IFERROR(__xludf.DUMMYFUNCTION("""COMPUTED_VALUE"""),"Money Out")</f>
        <v>Money Out</v>
      </c>
      <c r="D288" s="28" t="str">
        <f>IFERROR(__xludf.DUMMYFUNCTION("""COMPUTED_VALUE"""),"Product Restocking")</f>
        <v>Product Restocking</v>
      </c>
      <c r="E288" s="28"/>
      <c r="F288" s="28"/>
      <c r="G288" s="28">
        <v>-670.0</v>
      </c>
      <c r="H288" s="28" t="s">
        <v>134</v>
      </c>
      <c r="J288" s="28" t="s">
        <v>134</v>
      </c>
    </row>
    <row r="289">
      <c r="A289" s="112">
        <f>IFERROR(__xludf.DUMMYFUNCTION("""COMPUTED_VALUE"""),45904.0)</f>
        <v>45904</v>
      </c>
      <c r="B289" s="113">
        <f>IFERROR(__xludf.DUMMYFUNCTION("""COMPUTED_VALUE"""),630.0)</f>
        <v>630</v>
      </c>
      <c r="C289" s="28" t="str">
        <f>IFERROR(__xludf.DUMMYFUNCTION("""COMPUTED_VALUE"""),"Money Out")</f>
        <v>Money Out</v>
      </c>
      <c r="D289" s="28" t="str">
        <f>IFERROR(__xludf.DUMMYFUNCTION("""COMPUTED_VALUE"""),"Product Restocking")</f>
        <v>Product Restocking</v>
      </c>
      <c r="E289" s="28"/>
      <c r="F289" s="28"/>
      <c r="G289" s="28">
        <v>-630.0</v>
      </c>
      <c r="H289" s="28" t="s">
        <v>134</v>
      </c>
      <c r="J289" s="28" t="s">
        <v>134</v>
      </c>
    </row>
    <row r="290">
      <c r="A290" s="112">
        <f>IFERROR(__xludf.DUMMYFUNCTION("""COMPUTED_VALUE"""),45908.0)</f>
        <v>45908</v>
      </c>
      <c r="B290" s="113">
        <f>IFERROR(__xludf.DUMMYFUNCTION("""COMPUTED_VALUE"""),510.0)</f>
        <v>510</v>
      </c>
      <c r="C290" s="28" t="str">
        <f>IFERROR(__xludf.DUMMYFUNCTION("""COMPUTED_VALUE"""),"Money Out")</f>
        <v>Money Out</v>
      </c>
      <c r="D290" s="28" t="str">
        <f>IFERROR(__xludf.DUMMYFUNCTION("""COMPUTED_VALUE"""),"Product Restocking")</f>
        <v>Product Restocking</v>
      </c>
      <c r="E290" s="28"/>
      <c r="F290" s="28"/>
      <c r="G290" s="28">
        <v>-510.0</v>
      </c>
      <c r="H290" s="28" t="s">
        <v>134</v>
      </c>
      <c r="J290" s="28" t="s">
        <v>134</v>
      </c>
    </row>
    <row r="291">
      <c r="A291" s="112">
        <f>IFERROR(__xludf.DUMMYFUNCTION("""COMPUTED_VALUE"""),45908.0)</f>
        <v>45908</v>
      </c>
      <c r="B291" s="113">
        <f>IFERROR(__xludf.DUMMYFUNCTION("""COMPUTED_VALUE"""),250.0)</f>
        <v>250</v>
      </c>
      <c r="C291" s="28" t="str">
        <f>IFERROR(__xludf.DUMMYFUNCTION("""COMPUTED_VALUE"""),"Money Out")</f>
        <v>Money Out</v>
      </c>
      <c r="D291" s="28"/>
      <c r="E291" s="28"/>
      <c r="F291" s="28" t="str">
        <f>IFERROR(__xludf.DUMMYFUNCTION("""COMPUTED_VALUE"""),"نقل الماكينه")</f>
        <v>نقل الماكينه</v>
      </c>
      <c r="G291" s="28">
        <v>-250.0</v>
      </c>
      <c r="H291" s="28" t="s">
        <v>146</v>
      </c>
      <c r="J291" s="28" t="s">
        <v>146</v>
      </c>
    </row>
    <row r="292">
      <c r="A292" s="112">
        <f>IFERROR(__xludf.DUMMYFUNCTION("""COMPUTED_VALUE"""),45909.0)</f>
        <v>45909</v>
      </c>
      <c r="B292" s="113">
        <f>IFERROR(__xludf.DUMMYFUNCTION("""COMPUTED_VALUE"""),442.0)</f>
        <v>442</v>
      </c>
      <c r="C292" s="28" t="str">
        <f>IFERROR(__xludf.DUMMYFUNCTION("""COMPUTED_VALUE"""),"Money Out")</f>
        <v>Money Out</v>
      </c>
      <c r="D292" s="28" t="str">
        <f>IFERROR(__xludf.DUMMYFUNCTION("""COMPUTED_VALUE"""),"Product Restocking")</f>
        <v>Product Restocking</v>
      </c>
      <c r="E292" s="28"/>
      <c r="F292" s="28"/>
      <c r="G292" s="28">
        <v>-442.0</v>
      </c>
      <c r="H292" s="28" t="s">
        <v>134</v>
      </c>
      <c r="J292" s="28" t="s">
        <v>134</v>
      </c>
    </row>
    <row r="293">
      <c r="A293" s="112">
        <f>IFERROR(__xludf.DUMMYFUNCTION("""COMPUTED_VALUE"""),45910.0)</f>
        <v>45910</v>
      </c>
      <c r="B293" s="113">
        <f>IFERROR(__xludf.DUMMYFUNCTION("""COMPUTED_VALUE"""),471.0)</f>
        <v>471</v>
      </c>
      <c r="C293" s="28" t="str">
        <f>IFERROR(__xludf.DUMMYFUNCTION("""COMPUTED_VALUE"""),"Money Out")</f>
        <v>Money Out</v>
      </c>
      <c r="D293" s="28" t="str">
        <f>IFERROR(__xludf.DUMMYFUNCTION("""COMPUTED_VALUE"""),"Product Restocking")</f>
        <v>Product Restocking</v>
      </c>
      <c r="E293" s="28"/>
      <c r="F293" s="28"/>
      <c r="G293" s="28">
        <v>-471.0</v>
      </c>
      <c r="H293" s="28" t="s">
        <v>134</v>
      </c>
      <c r="J293" s="28" t="s">
        <v>134</v>
      </c>
    </row>
    <row r="294">
      <c r="A294" s="112">
        <f>IFERROR(__xludf.DUMMYFUNCTION("""COMPUTED_VALUE"""),45911.0)</f>
        <v>45911</v>
      </c>
      <c r="B294" s="113">
        <f>IFERROR(__xludf.DUMMYFUNCTION("""COMPUTED_VALUE"""),133.0)</f>
        <v>133</v>
      </c>
      <c r="C294" s="28" t="str">
        <f>IFERROR(__xludf.DUMMYFUNCTION("""COMPUTED_VALUE"""),"Money Out")</f>
        <v>Money Out</v>
      </c>
      <c r="D294" s="28" t="str">
        <f>IFERROR(__xludf.DUMMYFUNCTION("""COMPUTED_VALUE"""),"Product Restocking")</f>
        <v>Product Restocking</v>
      </c>
      <c r="E294" s="28"/>
      <c r="F294" s="28"/>
      <c r="G294" s="28">
        <v>-133.0</v>
      </c>
      <c r="H294" s="28" t="s">
        <v>134</v>
      </c>
      <c r="J294" s="28" t="s">
        <v>134</v>
      </c>
    </row>
    <row r="295">
      <c r="A295" s="112">
        <f>IFERROR(__xludf.DUMMYFUNCTION("""COMPUTED_VALUE"""),45913.0)</f>
        <v>45913</v>
      </c>
      <c r="B295" s="113">
        <f>IFERROR(__xludf.DUMMYFUNCTION("""COMPUTED_VALUE"""),1033.0)</f>
        <v>1033</v>
      </c>
      <c r="C295" s="28" t="str">
        <f>IFERROR(__xludf.DUMMYFUNCTION("""COMPUTED_VALUE"""),"Money Out")</f>
        <v>Money Out</v>
      </c>
      <c r="D295" s="28" t="str">
        <f>IFERROR(__xludf.DUMMYFUNCTION("""COMPUTED_VALUE"""),"Product Restocking")</f>
        <v>Product Restocking</v>
      </c>
      <c r="E295" s="28"/>
      <c r="F295" s="28"/>
      <c r="G295" s="28">
        <v>-1033.0</v>
      </c>
      <c r="H295" s="28" t="s">
        <v>134</v>
      </c>
      <c r="J295" s="28" t="s">
        <v>134</v>
      </c>
    </row>
    <row r="296">
      <c r="A296" s="112">
        <f>IFERROR(__xludf.DUMMYFUNCTION("""COMPUTED_VALUE"""),45913.0)</f>
        <v>45913</v>
      </c>
      <c r="B296" s="113">
        <f>IFERROR(__xludf.DUMMYFUNCTION("""COMPUTED_VALUE"""),530.0)</f>
        <v>530</v>
      </c>
      <c r="C296" s="28" t="str">
        <f>IFERROR(__xludf.DUMMYFUNCTION("""COMPUTED_VALUE"""),"Money Out")</f>
        <v>Money Out</v>
      </c>
      <c r="D296" s="28"/>
      <c r="E296" s="28"/>
      <c r="F296" s="28" t="str">
        <f>IFERROR(__xludf.DUMMYFUNCTION("""COMPUTED_VALUE"""),"تحويل دولار")</f>
        <v>تحويل دولار</v>
      </c>
      <c r="G296" s="28">
        <v>-530.0</v>
      </c>
      <c r="H296" s="28" t="s">
        <v>146</v>
      </c>
      <c r="J296" s="28" t="s">
        <v>146</v>
      </c>
    </row>
    <row r="297">
      <c r="A297" s="112">
        <f>IFERROR(__xludf.DUMMYFUNCTION("""COMPUTED_VALUE"""),45914.0)</f>
        <v>45914</v>
      </c>
      <c r="B297" s="113">
        <f>IFERROR(__xludf.DUMMYFUNCTION("""COMPUTED_VALUE"""),2909.0)</f>
        <v>2909</v>
      </c>
      <c r="C297" s="28" t="str">
        <f>IFERROR(__xludf.DUMMYFUNCTION("""COMPUTED_VALUE"""),"Money In")</f>
        <v>Money In</v>
      </c>
      <c r="D297" s="28" t="str">
        <f>IFERROR(__xludf.DUMMYFUNCTION("""COMPUTED_VALUE"""),"Revenue")</f>
        <v>Revenue</v>
      </c>
      <c r="E297" s="28" t="str">
        <f>IFERROR(__xludf.DUMMYFUNCTION("""COMPUTED_VALUE"""),"HTMall")</f>
        <v>HTMall</v>
      </c>
      <c r="F297" s="28"/>
      <c r="G297" s="28">
        <v>2909.0</v>
      </c>
      <c r="H297" s="28" t="s">
        <v>135</v>
      </c>
      <c r="J297" s="28" t="s">
        <v>135</v>
      </c>
    </row>
    <row r="298">
      <c r="A298" s="112">
        <f>IFERROR(__xludf.DUMMYFUNCTION("""COMPUTED_VALUE"""),45915.0)</f>
        <v>45915</v>
      </c>
      <c r="B298" s="113">
        <f>IFERROR(__xludf.DUMMYFUNCTION("""COMPUTED_VALUE"""),300.0)</f>
        <v>300</v>
      </c>
      <c r="C298" s="28" t="str">
        <f>IFERROR(__xludf.DUMMYFUNCTION("""COMPUTED_VALUE"""),"Money Out")</f>
        <v>Money Out</v>
      </c>
      <c r="D298" s="28"/>
      <c r="E298" s="28" t="str">
        <f>IFERROR(__xludf.DUMMYFUNCTION("""COMPUTED_VALUE"""),"HTMall")</f>
        <v>HTMall</v>
      </c>
      <c r="F298" s="28" t="str">
        <f>IFERROR(__xludf.DUMMYFUNCTION("""COMPUTED_VALUE"""),"كهرباء شهر 6/7/8")</f>
        <v>كهرباء شهر 6/7/8</v>
      </c>
      <c r="G298" s="28">
        <v>-300.0</v>
      </c>
      <c r="H298" s="28" t="s">
        <v>146</v>
      </c>
      <c r="J298" s="28" t="s">
        <v>146</v>
      </c>
    </row>
    <row r="299">
      <c r="A299" s="112">
        <f>IFERROR(__xludf.DUMMYFUNCTION("""COMPUTED_VALUE"""),45917.0)</f>
        <v>45917</v>
      </c>
      <c r="B299" s="113">
        <f>IFERROR(__xludf.DUMMYFUNCTION("""COMPUTED_VALUE"""),665.0)</f>
        <v>665</v>
      </c>
      <c r="C299" s="28" t="str">
        <f>IFERROR(__xludf.DUMMYFUNCTION("""COMPUTED_VALUE"""),"Money Out")</f>
        <v>Money Out</v>
      </c>
      <c r="D299" s="28" t="str">
        <f>IFERROR(__xludf.DUMMYFUNCTION("""COMPUTED_VALUE"""),"Product Restocking")</f>
        <v>Product Restocking</v>
      </c>
      <c r="E299" s="28"/>
      <c r="F299" s="28"/>
      <c r="G299" s="28">
        <v>-665.0</v>
      </c>
      <c r="H299" s="28" t="s">
        <v>134</v>
      </c>
      <c r="J299" s="28" t="s">
        <v>134</v>
      </c>
    </row>
    <row r="300">
      <c r="A300" s="112">
        <f>IFERROR(__xludf.DUMMYFUNCTION("""COMPUTED_VALUE"""),45920.0)</f>
        <v>45920</v>
      </c>
      <c r="B300" s="113">
        <f>IFERROR(__xludf.DUMMYFUNCTION("""COMPUTED_VALUE"""),252.0)</f>
        <v>252</v>
      </c>
      <c r="C300" s="28" t="str">
        <f>IFERROR(__xludf.DUMMYFUNCTION("""COMPUTED_VALUE"""),"Money Out")</f>
        <v>Money Out</v>
      </c>
      <c r="D300" s="28" t="str">
        <f>IFERROR(__xludf.DUMMYFUNCTION("""COMPUTED_VALUE"""),"Product Restocking")</f>
        <v>Product Restocking</v>
      </c>
      <c r="E300" s="28"/>
      <c r="F300" s="28"/>
      <c r="G300" s="28">
        <v>-252.0</v>
      </c>
      <c r="H300" s="28" t="s">
        <v>134</v>
      </c>
      <c r="J300" s="28" t="s">
        <v>134</v>
      </c>
    </row>
    <row r="301">
      <c r="A301" s="112">
        <f>IFERROR(__xludf.DUMMYFUNCTION("""COMPUTED_VALUE"""),45920.0)</f>
        <v>45920</v>
      </c>
      <c r="B301" s="113">
        <f>IFERROR(__xludf.DUMMYFUNCTION("""COMPUTED_VALUE"""),2611.0)</f>
        <v>2611</v>
      </c>
      <c r="C301" s="28" t="str">
        <f>IFERROR(__xludf.DUMMYFUNCTION("""COMPUTED_VALUE"""),"Money In")</f>
        <v>Money In</v>
      </c>
      <c r="D301" s="28" t="str">
        <f>IFERROR(__xludf.DUMMYFUNCTION("""COMPUTED_VALUE"""),"Revenue")</f>
        <v>Revenue</v>
      </c>
      <c r="E301" s="28" t="str">
        <f>IFERROR(__xludf.DUMMYFUNCTION("""COMPUTED_VALUE"""),"AlmouasafatHospital")</f>
        <v>AlmouasafatHospital</v>
      </c>
      <c r="F301" s="28"/>
      <c r="G301" s="28">
        <v>2611.0</v>
      </c>
      <c r="H301" s="28" t="s">
        <v>135</v>
      </c>
      <c r="J301" s="28" t="s">
        <v>135</v>
      </c>
    </row>
    <row r="302">
      <c r="A302" s="112">
        <f>IFERROR(__xludf.DUMMYFUNCTION("""COMPUTED_VALUE"""),45920.0)</f>
        <v>45920</v>
      </c>
      <c r="B302" s="113">
        <f>IFERROR(__xludf.DUMMYFUNCTION("""COMPUTED_VALUE"""),2371.0)</f>
        <v>2371</v>
      </c>
      <c r="C302" s="28" t="str">
        <f>IFERROR(__xludf.DUMMYFUNCTION("""COMPUTED_VALUE"""),"Money In")</f>
        <v>Money In</v>
      </c>
      <c r="D302" s="28" t="str">
        <f>IFERROR(__xludf.DUMMYFUNCTION("""COMPUTED_VALUE"""),"Revenue")</f>
        <v>Revenue</v>
      </c>
      <c r="E302" s="28" t="str">
        <f>IFERROR(__xludf.DUMMYFUNCTION("""COMPUTED_VALUE"""),"deplomacyMall")</f>
        <v>deplomacyMall</v>
      </c>
      <c r="F302" s="28"/>
      <c r="G302" s="28">
        <v>2371.0</v>
      </c>
      <c r="H302" s="28" t="s">
        <v>135</v>
      </c>
      <c r="J302" s="28" t="s">
        <v>135</v>
      </c>
    </row>
    <row r="303">
      <c r="A303" s="112">
        <f>IFERROR(__xludf.DUMMYFUNCTION("""COMPUTED_VALUE"""),45921.0)</f>
        <v>45921</v>
      </c>
      <c r="B303" s="113">
        <f>IFERROR(__xludf.DUMMYFUNCTION("""COMPUTED_VALUE"""),1033.0)</f>
        <v>1033</v>
      </c>
      <c r="C303" s="28" t="str">
        <f>IFERROR(__xludf.DUMMYFUNCTION("""COMPUTED_VALUE"""),"Money Out")</f>
        <v>Money Out</v>
      </c>
      <c r="D303" s="28" t="str">
        <f>IFERROR(__xludf.DUMMYFUNCTION("""COMPUTED_VALUE"""),"Product Restocking")</f>
        <v>Product Restocking</v>
      </c>
      <c r="E303" s="28"/>
      <c r="F303" s="28"/>
      <c r="G303" s="28">
        <v>-1033.0</v>
      </c>
      <c r="H303" s="28" t="s">
        <v>134</v>
      </c>
      <c r="J303" s="28" t="s">
        <v>134</v>
      </c>
    </row>
    <row r="304">
      <c r="A304" s="112">
        <f>IFERROR(__xludf.DUMMYFUNCTION("""COMPUTED_VALUE"""),45922.0)</f>
        <v>45922</v>
      </c>
      <c r="B304" s="113">
        <f>IFERROR(__xludf.DUMMYFUNCTION("""COMPUTED_VALUE"""),470.0)</f>
        <v>470</v>
      </c>
      <c r="C304" s="28" t="str">
        <f>IFERROR(__xludf.DUMMYFUNCTION("""COMPUTED_VALUE"""),"Money Out")</f>
        <v>Money Out</v>
      </c>
      <c r="D304" s="28" t="str">
        <f>IFERROR(__xludf.DUMMYFUNCTION("""COMPUTED_VALUE"""),"Product Restocking")</f>
        <v>Product Restocking</v>
      </c>
      <c r="E304" s="28"/>
      <c r="F304" s="28"/>
      <c r="G304" s="28">
        <v>-470.0</v>
      </c>
      <c r="H304" s="28" t="s">
        <v>134</v>
      </c>
      <c r="J304" s="28" t="s">
        <v>134</v>
      </c>
    </row>
    <row r="305">
      <c r="A305" s="112">
        <f>IFERROR(__xludf.DUMMYFUNCTION("""COMPUTED_VALUE"""),45924.0)</f>
        <v>45924</v>
      </c>
      <c r="B305" s="113">
        <f>IFERROR(__xludf.DUMMYFUNCTION("""COMPUTED_VALUE"""),1117.0)</f>
        <v>1117</v>
      </c>
      <c r="C305" s="28" t="str">
        <f>IFERROR(__xludf.DUMMYFUNCTION("""COMPUTED_VALUE"""),"Money Out")</f>
        <v>Money Out</v>
      </c>
      <c r="D305" s="28" t="str">
        <f>IFERROR(__xludf.DUMMYFUNCTION("""COMPUTED_VALUE"""),"Product Restocking")</f>
        <v>Product Restocking</v>
      </c>
      <c r="E305" s="28"/>
      <c r="F305" s="28"/>
      <c r="G305" s="28">
        <v>-1117.0</v>
      </c>
      <c r="H305" s="28" t="s">
        <v>134</v>
      </c>
      <c r="J305" s="28" t="s">
        <v>134</v>
      </c>
    </row>
    <row r="306">
      <c r="A306" s="112">
        <f>IFERROR(__xludf.DUMMYFUNCTION("""COMPUTED_VALUE"""),45924.0)</f>
        <v>45924</v>
      </c>
      <c r="B306" s="113">
        <f>IFERROR(__xludf.DUMMYFUNCTION("""COMPUTED_VALUE"""),360.0)</f>
        <v>360</v>
      </c>
      <c r="C306" s="28" t="str">
        <f>IFERROR(__xludf.DUMMYFUNCTION("""COMPUTED_VALUE"""),"Money In")</f>
        <v>Money In</v>
      </c>
      <c r="D306" s="28" t="str">
        <f>IFERROR(__xludf.DUMMYFUNCTION("""COMPUTED_VALUE"""),"Revenue")</f>
        <v>Revenue</v>
      </c>
      <c r="E306" s="28" t="str">
        <f>IFERROR(__xludf.DUMMYFUNCTION("""COMPUTED_VALUE"""),"HTMall")</f>
        <v>HTMall</v>
      </c>
      <c r="F306" s="28"/>
      <c r="G306" s="28">
        <v>360.0</v>
      </c>
      <c r="H306" s="28" t="s">
        <v>135</v>
      </c>
      <c r="J306" s="28" t="s">
        <v>135</v>
      </c>
    </row>
    <row r="307">
      <c r="A307" s="112">
        <f>IFERROR(__xludf.DUMMYFUNCTION("""COMPUTED_VALUE"""),45924.0)</f>
        <v>45924</v>
      </c>
      <c r="B307" s="113">
        <f>IFERROR(__xludf.DUMMYFUNCTION("""COMPUTED_VALUE"""),35.0)</f>
        <v>35</v>
      </c>
      <c r="C307" s="28" t="str">
        <f>IFERROR(__xludf.DUMMYFUNCTION("""COMPUTED_VALUE"""),"Money In")</f>
        <v>Money In</v>
      </c>
      <c r="D307" s="28" t="str">
        <f>IFERROR(__xludf.DUMMYFUNCTION("""COMPUTED_VALUE"""),"Revenue")</f>
        <v>Revenue</v>
      </c>
      <c r="E307" s="28" t="str">
        <f>IFERROR(__xludf.DUMMYFUNCTION("""COMPUTED_VALUE"""),"deplomacyMall")</f>
        <v>deplomacyMall</v>
      </c>
      <c r="F307" s="28"/>
      <c r="G307" s="28">
        <v>35.0</v>
      </c>
      <c r="H307" s="28" t="s">
        <v>135</v>
      </c>
      <c r="J307" s="28" t="s">
        <v>135</v>
      </c>
    </row>
    <row r="308">
      <c r="A308" s="112">
        <f>IFERROR(__xludf.DUMMYFUNCTION("""COMPUTED_VALUE"""),45925.0)</f>
        <v>45925</v>
      </c>
      <c r="B308" s="113">
        <f>IFERROR(__xludf.DUMMYFUNCTION("""COMPUTED_VALUE"""),1240.0)</f>
        <v>1240</v>
      </c>
      <c r="C308" s="28" t="str">
        <f>IFERROR(__xludf.DUMMYFUNCTION("""COMPUTED_VALUE"""),"Money Out")</f>
        <v>Money Out</v>
      </c>
      <c r="D308" s="28" t="str">
        <f>IFERROR(__xludf.DUMMYFUNCTION("""COMPUTED_VALUE"""),"Product Restocking")</f>
        <v>Product Restocking</v>
      </c>
      <c r="E308" s="28"/>
      <c r="F308" s="28"/>
      <c r="G308" s="28">
        <v>-1240.0</v>
      </c>
      <c r="H308" s="28" t="s">
        <v>134</v>
      </c>
      <c r="J308" s="28" t="s">
        <v>134</v>
      </c>
    </row>
    <row r="309">
      <c r="A309" s="112">
        <f>IFERROR(__xludf.DUMMYFUNCTION("""COMPUTED_VALUE"""),45945.0)</f>
        <v>45945</v>
      </c>
      <c r="B309" s="113">
        <f>IFERROR(__xludf.DUMMYFUNCTION("""COMPUTED_VALUE"""),1224.0)</f>
        <v>1224</v>
      </c>
      <c r="C309" s="28" t="str">
        <f>IFERROR(__xludf.DUMMYFUNCTION("""COMPUTED_VALUE"""),"Money In")</f>
        <v>Money In</v>
      </c>
      <c r="D309" s="28" t="str">
        <f>IFERROR(__xludf.DUMMYFUNCTION("""COMPUTED_VALUE"""),"Revenue")</f>
        <v>Revenue</v>
      </c>
      <c r="E309" s="28" t="str">
        <f>IFERROR(__xludf.DUMMYFUNCTION("""COMPUTED_VALUE"""),"deplomacyMall")</f>
        <v>deplomacyMall</v>
      </c>
      <c r="F309" s="28"/>
      <c r="G309" s="28">
        <v>1224.0</v>
      </c>
      <c r="H309" s="28" t="s">
        <v>135</v>
      </c>
      <c r="J309" s="28" t="s">
        <v>135</v>
      </c>
    </row>
    <row r="310">
      <c r="A310" s="112">
        <f>IFERROR(__xludf.DUMMYFUNCTION("""COMPUTED_VALUE"""),45929.0)</f>
        <v>45929</v>
      </c>
      <c r="B310" s="113">
        <f>IFERROR(__xludf.DUMMYFUNCTION("""COMPUTED_VALUE"""),1341.0)</f>
        <v>1341</v>
      </c>
      <c r="C310" s="28" t="str">
        <f>IFERROR(__xludf.DUMMYFUNCTION("""COMPUTED_VALUE"""),"Money In")</f>
        <v>Money In</v>
      </c>
      <c r="D310" s="28" t="str">
        <f>IFERROR(__xludf.DUMMYFUNCTION("""COMPUTED_VALUE"""),"Revenue")</f>
        <v>Revenue</v>
      </c>
      <c r="E310" s="28" t="str">
        <f>IFERROR(__xludf.DUMMYFUNCTION("""COMPUTED_VALUE"""),"AlmouasafatHospital")</f>
        <v>AlmouasafatHospital</v>
      </c>
      <c r="F310" s="28"/>
      <c r="G310" s="28">
        <v>1341.0</v>
      </c>
      <c r="H310" s="28" t="s">
        <v>135</v>
      </c>
      <c r="J310" s="28" t="s">
        <v>135</v>
      </c>
    </row>
    <row r="311">
      <c r="A311" s="112">
        <f>IFERROR(__xludf.DUMMYFUNCTION("""COMPUTED_VALUE"""),45929.0)</f>
        <v>45929</v>
      </c>
      <c r="B311" s="113">
        <f>IFERROR(__xludf.DUMMYFUNCTION("""COMPUTED_VALUE"""),361.0)</f>
        <v>361</v>
      </c>
      <c r="C311" s="28" t="str">
        <f>IFERROR(__xludf.DUMMYFUNCTION("""COMPUTED_VALUE"""),"Money In")</f>
        <v>Money In</v>
      </c>
      <c r="D311" s="28" t="str">
        <f>IFERROR(__xludf.DUMMYFUNCTION("""COMPUTED_VALUE"""),"Revenue")</f>
        <v>Revenue</v>
      </c>
      <c r="E311" s="28" t="str">
        <f>IFERROR(__xludf.DUMMYFUNCTION("""COMPUTED_VALUE"""),"HTMall")</f>
        <v>HTMall</v>
      </c>
      <c r="F311" s="28"/>
      <c r="G311" s="28">
        <v>361.0</v>
      </c>
      <c r="H311" s="28" t="s">
        <v>135</v>
      </c>
      <c r="J311" s="28" t="s">
        <v>135</v>
      </c>
    </row>
    <row r="312">
      <c r="A312" s="112">
        <f>IFERROR(__xludf.DUMMYFUNCTION("""COMPUTED_VALUE"""),45930.0)</f>
        <v>45930</v>
      </c>
      <c r="B312" s="113">
        <f>IFERROR(__xludf.DUMMYFUNCTION("""COMPUTED_VALUE"""),2254.0)</f>
        <v>2254</v>
      </c>
      <c r="C312" s="28" t="str">
        <f>IFERROR(__xludf.DUMMYFUNCTION("""COMPUTED_VALUE"""),"Money In")</f>
        <v>Money In</v>
      </c>
      <c r="D312" s="28" t="str">
        <f>IFERROR(__xludf.DUMMYFUNCTION("""COMPUTED_VALUE"""),"Revenue")</f>
        <v>Revenue</v>
      </c>
      <c r="E312" s="28" t="str">
        <f>IFERROR(__xludf.DUMMYFUNCTION("""COMPUTED_VALUE"""),"HTMall")</f>
        <v>HTMall</v>
      </c>
      <c r="F312" s="28"/>
      <c r="G312" s="28">
        <v>2254.0</v>
      </c>
      <c r="H312" s="28" t="s">
        <v>135</v>
      </c>
      <c r="J312" s="28" t="s">
        <v>135</v>
      </c>
    </row>
    <row r="313">
      <c r="A313" s="112">
        <f>IFERROR(__xludf.DUMMYFUNCTION("""COMPUTED_VALUE"""),45931.0)</f>
        <v>45931</v>
      </c>
      <c r="B313" s="113">
        <f>IFERROR(__xludf.DUMMYFUNCTION("""COMPUTED_VALUE"""),639.0)</f>
        <v>639</v>
      </c>
      <c r="C313" s="28" t="str">
        <f>IFERROR(__xludf.DUMMYFUNCTION("""COMPUTED_VALUE"""),"Money Out")</f>
        <v>Money Out</v>
      </c>
      <c r="D313" s="28" t="str">
        <f>IFERROR(__xludf.DUMMYFUNCTION("""COMPUTED_VALUE"""),"Product Restocking")</f>
        <v>Product Restocking</v>
      </c>
      <c r="E313" s="28"/>
      <c r="F313" s="28"/>
      <c r="G313" s="28">
        <v>-639.0</v>
      </c>
      <c r="H313" s="28" t="s">
        <v>134</v>
      </c>
      <c r="J313" s="28" t="s">
        <v>134</v>
      </c>
    </row>
    <row r="314">
      <c r="A314" s="112">
        <f>IFERROR(__xludf.DUMMYFUNCTION("""COMPUTED_VALUE"""),45934.0)</f>
        <v>45934</v>
      </c>
      <c r="B314" s="113">
        <f>IFERROR(__xludf.DUMMYFUNCTION("""COMPUTED_VALUE"""),985.0)</f>
        <v>985</v>
      </c>
      <c r="C314" s="28" t="str">
        <f>IFERROR(__xludf.DUMMYFUNCTION("""COMPUTED_VALUE"""),"Money Out")</f>
        <v>Money Out</v>
      </c>
      <c r="D314" s="28" t="str">
        <f>IFERROR(__xludf.DUMMYFUNCTION("""COMPUTED_VALUE"""),"Product Restocking")</f>
        <v>Product Restocking</v>
      </c>
      <c r="E314" s="28"/>
      <c r="F314" s="28"/>
      <c r="G314" s="28">
        <v>-985.0</v>
      </c>
      <c r="H314" s="28" t="s">
        <v>134</v>
      </c>
      <c r="J314" s="28" t="s">
        <v>134</v>
      </c>
    </row>
    <row r="315">
      <c r="A315" s="112">
        <f>IFERROR(__xludf.DUMMYFUNCTION("""COMPUTED_VALUE"""),45935.0)</f>
        <v>45935</v>
      </c>
      <c r="B315" s="113">
        <f>IFERROR(__xludf.DUMMYFUNCTION("""COMPUTED_VALUE"""),492.0)</f>
        <v>492</v>
      </c>
      <c r="C315" s="28" t="str">
        <f>IFERROR(__xludf.DUMMYFUNCTION("""COMPUTED_VALUE"""),"Money Out")</f>
        <v>Money Out</v>
      </c>
      <c r="D315" s="28" t="str">
        <f>IFERROR(__xludf.DUMMYFUNCTION("""COMPUTED_VALUE"""),"Product Restocking")</f>
        <v>Product Restocking</v>
      </c>
      <c r="E315" s="28"/>
      <c r="F315" s="28"/>
      <c r="G315" s="28">
        <v>-492.0</v>
      </c>
      <c r="H315" s="28" t="s">
        <v>134</v>
      </c>
      <c r="J315" s="28" t="s">
        <v>134</v>
      </c>
    </row>
    <row r="316">
      <c r="A316" s="112">
        <f>IFERROR(__xludf.DUMMYFUNCTION("""COMPUTED_VALUE"""),45936.0)</f>
        <v>45936</v>
      </c>
      <c r="B316" s="113">
        <f>IFERROR(__xludf.DUMMYFUNCTION("""COMPUTED_VALUE"""),1446.0)</f>
        <v>1446</v>
      </c>
      <c r="C316" s="28" t="str">
        <f>IFERROR(__xludf.DUMMYFUNCTION("""COMPUTED_VALUE"""),"Money Out")</f>
        <v>Money Out</v>
      </c>
      <c r="D316" s="28" t="str">
        <f>IFERROR(__xludf.DUMMYFUNCTION("""COMPUTED_VALUE"""),"Product Restocking")</f>
        <v>Product Restocking</v>
      </c>
      <c r="E316" s="28"/>
      <c r="F316" s="28"/>
      <c r="G316" s="28">
        <v>-1446.0</v>
      </c>
      <c r="H316" s="28" t="s">
        <v>134</v>
      </c>
      <c r="J316" s="28" t="s">
        <v>134</v>
      </c>
    </row>
    <row r="317">
      <c r="A317" s="112">
        <f>IFERROR(__xludf.DUMMYFUNCTION("""COMPUTED_VALUE"""),45937.0)</f>
        <v>45937</v>
      </c>
      <c r="B317" s="113">
        <f>IFERROR(__xludf.DUMMYFUNCTION("""COMPUTED_VALUE"""),638.0)</f>
        <v>638</v>
      </c>
      <c r="C317" s="28" t="str">
        <f>IFERROR(__xludf.DUMMYFUNCTION("""COMPUTED_VALUE"""),"Money Out")</f>
        <v>Money Out</v>
      </c>
      <c r="D317" s="28" t="str">
        <f>IFERROR(__xludf.DUMMYFUNCTION("""COMPUTED_VALUE"""),"Product Restocking")</f>
        <v>Product Restocking</v>
      </c>
      <c r="E317" s="28"/>
      <c r="F317" s="28"/>
      <c r="G317" s="28">
        <v>-638.0</v>
      </c>
      <c r="H317" s="28" t="s">
        <v>134</v>
      </c>
      <c r="J317" s="28" t="s">
        <v>134</v>
      </c>
    </row>
    <row r="318">
      <c r="A318" s="112">
        <f>IFERROR(__xludf.DUMMYFUNCTION("""COMPUTED_VALUE"""),45938.0)</f>
        <v>45938</v>
      </c>
      <c r="B318" s="113">
        <f>IFERROR(__xludf.DUMMYFUNCTION("""COMPUTED_VALUE"""),202.0)</f>
        <v>202</v>
      </c>
      <c r="C318" s="28" t="str">
        <f>IFERROR(__xludf.DUMMYFUNCTION("""COMPUTED_VALUE"""),"Money Out")</f>
        <v>Money Out</v>
      </c>
      <c r="D318" s="28" t="str">
        <f>IFERROR(__xludf.DUMMYFUNCTION("""COMPUTED_VALUE"""),"Product Restocking")</f>
        <v>Product Restocking</v>
      </c>
      <c r="E318" s="28"/>
      <c r="F318" s="28"/>
      <c r="G318" s="28">
        <v>-202.0</v>
      </c>
      <c r="H318" s="28" t="s">
        <v>134</v>
      </c>
      <c r="J318" s="28" t="s">
        <v>134</v>
      </c>
    </row>
    <row r="319">
      <c r="A319" s="112">
        <f>IFERROR(__xludf.DUMMYFUNCTION("""COMPUTED_VALUE"""),45939.0)</f>
        <v>45939</v>
      </c>
      <c r="B319" s="113">
        <f>IFERROR(__xludf.DUMMYFUNCTION("""COMPUTED_VALUE"""),810.0)</f>
        <v>810</v>
      </c>
      <c r="C319" s="28" t="str">
        <f>IFERROR(__xludf.DUMMYFUNCTION("""COMPUTED_VALUE"""),"Money Out")</f>
        <v>Money Out</v>
      </c>
      <c r="D319" s="28" t="str">
        <f>IFERROR(__xludf.DUMMYFUNCTION("""COMPUTED_VALUE"""),"Product Restocking")</f>
        <v>Product Restocking</v>
      </c>
      <c r="E319" s="28"/>
      <c r="F319" s="28"/>
      <c r="G319" s="28">
        <v>-810.0</v>
      </c>
      <c r="H319" s="28" t="s">
        <v>134</v>
      </c>
      <c r="J319" s="28" t="s">
        <v>134</v>
      </c>
    </row>
    <row r="320">
      <c r="A320" s="112">
        <f>IFERROR(__xludf.DUMMYFUNCTION("""COMPUTED_VALUE"""),45941.0)</f>
        <v>45941</v>
      </c>
      <c r="B320" s="113">
        <f>IFERROR(__xludf.DUMMYFUNCTION("""COMPUTED_VALUE"""),300.0)</f>
        <v>300</v>
      </c>
      <c r="C320" s="28" t="str">
        <f>IFERROR(__xludf.DUMMYFUNCTION("""COMPUTED_VALUE"""),"Money Out")</f>
        <v>Money Out</v>
      </c>
      <c r="D320" s="28"/>
      <c r="E320" s="28"/>
      <c r="F320" s="28" t="str">
        <f>IFERROR(__xludf.DUMMYFUNCTION("""COMPUTED_VALUE"""),"توصيل ")</f>
        <v>توصيل </v>
      </c>
      <c r="G320" s="28">
        <v>-300.0</v>
      </c>
      <c r="H320" s="28" t="s">
        <v>146</v>
      </c>
      <c r="J320" s="28" t="s">
        <v>146</v>
      </c>
    </row>
    <row r="321">
      <c r="A321" s="112">
        <f>IFERROR(__xludf.DUMMYFUNCTION("""COMPUTED_VALUE"""),45941.0)</f>
        <v>45941</v>
      </c>
      <c r="B321" s="113">
        <f>IFERROR(__xludf.DUMMYFUNCTION("""COMPUTED_VALUE"""),1675.0)</f>
        <v>1675</v>
      </c>
      <c r="C321" s="28" t="str">
        <f>IFERROR(__xludf.DUMMYFUNCTION("""COMPUTED_VALUE"""),"Money Out")</f>
        <v>Money Out</v>
      </c>
      <c r="D321" s="28" t="str">
        <f>IFERROR(__xludf.DUMMYFUNCTION("""COMPUTED_VALUE"""),"Product Restocking")</f>
        <v>Product Restocking</v>
      </c>
      <c r="E321" s="28"/>
      <c r="F321" s="28"/>
      <c r="G321" s="28">
        <v>-1675.0</v>
      </c>
      <c r="H321" s="28" t="s">
        <v>134</v>
      </c>
      <c r="J321" s="28" t="s">
        <v>134</v>
      </c>
    </row>
    <row r="322">
      <c r="A322" s="112">
        <f>IFERROR(__xludf.DUMMYFUNCTION("""COMPUTED_VALUE"""),45943.0)</f>
        <v>45943</v>
      </c>
      <c r="B322" s="113">
        <f>IFERROR(__xludf.DUMMYFUNCTION("""COMPUTED_VALUE"""),27.0)</f>
        <v>27</v>
      </c>
      <c r="C322" s="28" t="str">
        <f>IFERROR(__xludf.DUMMYFUNCTION("""COMPUTED_VALUE"""),"Money Out")</f>
        <v>Money Out</v>
      </c>
      <c r="D322" s="28" t="str">
        <f>IFERROR(__xludf.DUMMYFUNCTION("""COMPUTED_VALUE"""),"Product Restocking")</f>
        <v>Product Restocking</v>
      </c>
      <c r="E322" s="28"/>
      <c r="F322" s="28"/>
      <c r="G322" s="28">
        <v>-27.0</v>
      </c>
      <c r="H322" s="28" t="s">
        <v>134</v>
      </c>
      <c r="J322" s="28" t="s">
        <v>134</v>
      </c>
    </row>
    <row r="323">
      <c r="A323" s="112">
        <f>IFERROR(__xludf.DUMMYFUNCTION("""COMPUTED_VALUE"""),45944.0)</f>
        <v>45944</v>
      </c>
      <c r="B323" s="113">
        <f>IFERROR(__xludf.DUMMYFUNCTION("""COMPUTED_VALUE"""),600.0)</f>
        <v>600</v>
      </c>
      <c r="C323" s="28" t="str">
        <f>IFERROR(__xludf.DUMMYFUNCTION("""COMPUTED_VALUE"""),"Money Out")</f>
        <v>Money Out</v>
      </c>
      <c r="D323" s="28" t="str">
        <f>IFERROR(__xludf.DUMMYFUNCTION("""COMPUTED_VALUE"""),"Product Restocking")</f>
        <v>Product Restocking</v>
      </c>
      <c r="E323" s="28"/>
      <c r="F323" s="28"/>
      <c r="G323" s="28">
        <v>-600.0</v>
      </c>
      <c r="H323" s="28" t="s">
        <v>134</v>
      </c>
      <c r="J323" s="28" t="s">
        <v>134</v>
      </c>
    </row>
    <row r="324">
      <c r="A324" s="112">
        <f>IFERROR(__xludf.DUMMYFUNCTION("""COMPUTED_VALUE"""),45945.0)</f>
        <v>45945</v>
      </c>
      <c r="B324" s="113">
        <f>IFERROR(__xludf.DUMMYFUNCTION("""COMPUTED_VALUE"""),908.0)</f>
        <v>908</v>
      </c>
      <c r="C324" s="28" t="str">
        <f>IFERROR(__xludf.DUMMYFUNCTION("""COMPUTED_VALUE"""),"Money Out")</f>
        <v>Money Out</v>
      </c>
      <c r="D324" s="28" t="str">
        <f>IFERROR(__xludf.DUMMYFUNCTION("""COMPUTED_VALUE"""),"Product Restocking")</f>
        <v>Product Restocking</v>
      </c>
      <c r="E324" s="28"/>
      <c r="F324" s="28"/>
      <c r="G324" s="28">
        <v>-908.0</v>
      </c>
      <c r="H324" s="28" t="s">
        <v>134</v>
      </c>
      <c r="J324" s="28" t="s">
        <v>134</v>
      </c>
    </row>
    <row r="325">
      <c r="A325" s="112">
        <f>IFERROR(__xludf.DUMMYFUNCTION("""COMPUTED_VALUE"""),45945.0)</f>
        <v>45945</v>
      </c>
      <c r="B325" s="113">
        <f>IFERROR(__xludf.DUMMYFUNCTION("""COMPUTED_VALUE"""),3000.0)</f>
        <v>3000</v>
      </c>
      <c r="C325" s="28" t="str">
        <f>IFERROR(__xludf.DUMMYFUNCTION("""COMPUTED_VALUE"""),"Money Out")</f>
        <v>Money Out</v>
      </c>
      <c r="D325" s="28"/>
      <c r="E325" s="28"/>
      <c r="F325" s="28" t="str">
        <f>IFERROR(__xludf.DUMMYFUNCTION("""COMPUTED_VALUE"""),"تعديل ميزانيه")</f>
        <v>تعديل ميزانيه</v>
      </c>
      <c r="G325" s="28">
        <v>-3000.0</v>
      </c>
      <c r="H325" s="28" t="s">
        <v>146</v>
      </c>
      <c r="J325" s="28" t="s">
        <v>146</v>
      </c>
    </row>
    <row r="326">
      <c r="A326" s="112">
        <f>IFERROR(__xludf.DUMMYFUNCTION("""COMPUTED_VALUE"""),45945.0)</f>
        <v>45945</v>
      </c>
      <c r="B326" s="113">
        <f>IFERROR(__xludf.DUMMYFUNCTION("""COMPUTED_VALUE"""),2765.0)</f>
        <v>2765</v>
      </c>
      <c r="C326" s="28" t="str">
        <f>IFERROR(__xludf.DUMMYFUNCTION("""COMPUTED_VALUE"""),"Money In")</f>
        <v>Money In</v>
      </c>
      <c r="D326" s="28" t="str">
        <f>IFERROR(__xludf.DUMMYFUNCTION("""COMPUTED_VALUE"""),"Revenue")</f>
        <v>Revenue</v>
      </c>
      <c r="E326" s="28" t="str">
        <f>IFERROR(__xludf.DUMMYFUNCTION("""COMPUTED_VALUE"""),"AlmouasafatHospital")</f>
        <v>AlmouasafatHospital</v>
      </c>
      <c r="F326" s="28"/>
      <c r="G326" s="28">
        <v>2765.0</v>
      </c>
      <c r="H326" s="28" t="s">
        <v>135</v>
      </c>
      <c r="J326" s="28" t="s">
        <v>135</v>
      </c>
    </row>
    <row r="327">
      <c r="A327" s="112">
        <f>IFERROR(__xludf.DUMMYFUNCTION("""COMPUTED_VALUE"""),45945.0)</f>
        <v>45945</v>
      </c>
      <c r="B327" s="113">
        <f>IFERROR(__xludf.DUMMYFUNCTION("""COMPUTED_VALUE"""),100.0)</f>
        <v>100</v>
      </c>
      <c r="C327" s="28" t="str">
        <f>IFERROR(__xludf.DUMMYFUNCTION("""COMPUTED_VALUE"""),"Money Out")</f>
        <v>Money Out</v>
      </c>
      <c r="D327" s="28"/>
      <c r="E327" s="28" t="str">
        <f>IFERROR(__xludf.DUMMYFUNCTION("""COMPUTED_VALUE"""),"HTMall")</f>
        <v>HTMall</v>
      </c>
      <c r="F327" s="28" t="str">
        <f>IFERROR(__xludf.DUMMYFUNCTION("""COMPUTED_VALUE"""),"كهرباء")</f>
        <v>كهرباء</v>
      </c>
      <c r="G327" s="28">
        <v>-100.0</v>
      </c>
      <c r="H327" s="28" t="s">
        <v>146</v>
      </c>
      <c r="J327" s="28" t="s">
        <v>146</v>
      </c>
    </row>
    <row r="328">
      <c r="A328" s="112">
        <f>IFERROR(__xludf.DUMMYFUNCTION("""COMPUTED_VALUE"""),45948.0)</f>
        <v>45948</v>
      </c>
      <c r="B328" s="113">
        <f>IFERROR(__xludf.DUMMYFUNCTION("""COMPUTED_VALUE"""),2435.0)</f>
        <v>2435</v>
      </c>
      <c r="C328" s="28" t="str">
        <f>IFERROR(__xludf.DUMMYFUNCTION("""COMPUTED_VALUE"""),"Money Out")</f>
        <v>Money Out</v>
      </c>
      <c r="D328" s="28"/>
      <c r="E328" s="28"/>
      <c r="F328" s="28" t="str">
        <f>IFERROR(__xludf.DUMMYFUNCTION("""COMPUTED_VALUE"""),"تحويل الى شهاب, 30% من سعر الماكينه الجديده وبغص مصاريف الدعايه")</f>
        <v>تحويل الى شهاب, 30% من سعر الماكينه الجديده وبغص مصاريف الدعايه</v>
      </c>
      <c r="G328" s="28">
        <v>-2435.0</v>
      </c>
      <c r="H328" s="28" t="s">
        <v>146</v>
      </c>
      <c r="J328" s="28" t="s">
        <v>146</v>
      </c>
    </row>
    <row r="329">
      <c r="A329" s="112">
        <f>IFERROR(__xludf.DUMMYFUNCTION("""COMPUTED_VALUE"""),45948.0)</f>
        <v>45948</v>
      </c>
      <c r="B329" s="113">
        <f>IFERROR(__xludf.DUMMYFUNCTION("""COMPUTED_VALUE"""),840.0)</f>
        <v>840</v>
      </c>
      <c r="C329" s="28" t="str">
        <f>IFERROR(__xludf.DUMMYFUNCTION("""COMPUTED_VALUE"""),"Money Out")</f>
        <v>Money Out</v>
      </c>
      <c r="D329" s="28" t="str">
        <f>IFERROR(__xludf.DUMMYFUNCTION("""COMPUTED_VALUE"""),"charity")</f>
        <v>charity</v>
      </c>
      <c r="E329" s="28"/>
      <c r="F329" s="28"/>
      <c r="G329" s="28">
        <v>-840.0</v>
      </c>
      <c r="H329" s="28" t="s">
        <v>136</v>
      </c>
      <c r="J329" s="28" t="s">
        <v>136</v>
      </c>
    </row>
    <row r="330">
      <c r="A330" s="112">
        <f>IFERROR(__xludf.DUMMYFUNCTION("""COMPUTED_VALUE"""),45948.0)</f>
        <v>45948</v>
      </c>
      <c r="B330" s="113">
        <f>IFERROR(__xludf.DUMMYFUNCTION("""COMPUTED_VALUE"""),600.0)</f>
        <v>600</v>
      </c>
      <c r="C330" s="28" t="str">
        <f>IFERROR(__xludf.DUMMYFUNCTION("""COMPUTED_VALUE"""),"Money Out")</f>
        <v>Money Out</v>
      </c>
      <c r="D330" s="28" t="str">
        <f>IFERROR(__xludf.DUMMYFUNCTION("""COMPUTED_VALUE"""),"Product Restocking")</f>
        <v>Product Restocking</v>
      </c>
      <c r="E330" s="28"/>
      <c r="F330" s="28"/>
      <c r="G330" s="28">
        <v>-600.0</v>
      </c>
      <c r="H330" s="28" t="s">
        <v>134</v>
      </c>
      <c r="J330" s="28" t="s">
        <v>134</v>
      </c>
    </row>
    <row r="331">
      <c r="A331" s="112">
        <f>IFERROR(__xludf.DUMMYFUNCTION("""COMPUTED_VALUE"""),45950.0)</f>
        <v>45950</v>
      </c>
      <c r="B331" s="113">
        <f>IFERROR(__xludf.DUMMYFUNCTION("""COMPUTED_VALUE"""),211.0)</f>
        <v>211</v>
      </c>
      <c r="C331" s="28" t="str">
        <f>IFERROR(__xludf.DUMMYFUNCTION("""COMPUTED_VALUE"""),"Money Out")</f>
        <v>Money Out</v>
      </c>
      <c r="D331" s="28" t="str">
        <f>IFERROR(__xludf.DUMMYFUNCTION("""COMPUTED_VALUE"""),"Product Restocking")</f>
        <v>Product Restocking</v>
      </c>
      <c r="E331" s="28"/>
      <c r="F331" s="28"/>
      <c r="G331" s="28">
        <v>-211.0</v>
      </c>
      <c r="H331" s="28" t="s">
        <v>134</v>
      </c>
      <c r="J331" s="28" t="s">
        <v>134</v>
      </c>
    </row>
    <row r="332">
      <c r="A332" s="112">
        <f>IFERROR(__xludf.DUMMYFUNCTION("""COMPUTED_VALUE"""),45950.0)</f>
        <v>45950</v>
      </c>
      <c r="B332" s="113">
        <f>IFERROR(__xludf.DUMMYFUNCTION("""COMPUTED_VALUE"""),2593.0)</f>
        <v>2593</v>
      </c>
      <c r="C332" s="28" t="str">
        <f>IFERROR(__xludf.DUMMYFUNCTION("""COMPUTED_VALUE"""),"Money In")</f>
        <v>Money In</v>
      </c>
      <c r="D332" s="28" t="str">
        <f>IFERROR(__xludf.DUMMYFUNCTION("""COMPUTED_VALUE"""),"Revenue")</f>
        <v>Revenue</v>
      </c>
      <c r="E332" s="28" t="str">
        <f>IFERROR(__xludf.DUMMYFUNCTION("""COMPUTED_VALUE"""),"deplomacyMall")</f>
        <v>deplomacyMall</v>
      </c>
      <c r="F332" s="28"/>
      <c r="G332" s="28">
        <v>2593.0</v>
      </c>
      <c r="H332" s="28" t="s">
        <v>135</v>
      </c>
      <c r="J332" s="28" t="s">
        <v>135</v>
      </c>
    </row>
    <row r="333">
      <c r="A333" s="112">
        <f>IFERROR(__xludf.DUMMYFUNCTION("""COMPUTED_VALUE"""),45950.0)</f>
        <v>45950</v>
      </c>
      <c r="B333" s="113">
        <f>IFERROR(__xludf.DUMMYFUNCTION("""COMPUTED_VALUE"""),2599.0)</f>
        <v>2599</v>
      </c>
      <c r="C333" s="28" t="str">
        <f>IFERROR(__xludf.DUMMYFUNCTION("""COMPUTED_VALUE"""),"Money In")</f>
        <v>Money In</v>
      </c>
      <c r="D333" s="28" t="str">
        <f>IFERROR(__xludf.DUMMYFUNCTION("""COMPUTED_VALUE"""),"Revenue")</f>
        <v>Revenue</v>
      </c>
      <c r="E333" s="28" t="str">
        <f>IFERROR(__xludf.DUMMYFUNCTION("""COMPUTED_VALUE"""),"SeaCost")</f>
        <v>SeaCost</v>
      </c>
      <c r="F333" s="28"/>
      <c r="G333" s="28">
        <v>2599.0</v>
      </c>
      <c r="H333" s="28" t="s">
        <v>135</v>
      </c>
      <c r="J333" s="28" t="s">
        <v>135</v>
      </c>
    </row>
    <row r="334">
      <c r="A334" s="112">
        <f>IFERROR(__xludf.DUMMYFUNCTION("""COMPUTED_VALUE"""),45952.0)</f>
        <v>45952</v>
      </c>
      <c r="B334" s="113">
        <f>IFERROR(__xludf.DUMMYFUNCTION("""COMPUTED_VALUE"""),1103.0)</f>
        <v>1103</v>
      </c>
      <c r="C334" s="28" t="str">
        <f>IFERROR(__xludf.DUMMYFUNCTION("""COMPUTED_VALUE"""),"Money Out")</f>
        <v>Money Out</v>
      </c>
      <c r="D334" s="28" t="str">
        <f>IFERROR(__xludf.DUMMYFUNCTION("""COMPUTED_VALUE"""),"Product Restocking")</f>
        <v>Product Restocking</v>
      </c>
      <c r="E334" s="28"/>
      <c r="F334" s="28"/>
      <c r="G334" s="28">
        <v>-1103.0</v>
      </c>
      <c r="H334" s="28" t="s">
        <v>134</v>
      </c>
      <c r="J334" s="28" t="s">
        <v>134</v>
      </c>
    </row>
    <row r="335">
      <c r="A335" s="112">
        <f>IFERROR(__xludf.DUMMYFUNCTION("""COMPUTED_VALUE"""),45950.0)</f>
        <v>45950</v>
      </c>
      <c r="B335" s="113">
        <f>IFERROR(__xludf.DUMMYFUNCTION("""COMPUTED_VALUE"""),3636.0)</f>
        <v>3636</v>
      </c>
      <c r="C335" s="28" t="str">
        <f>IFERROR(__xludf.DUMMYFUNCTION("""COMPUTED_VALUE"""),"Money In")</f>
        <v>Money In</v>
      </c>
      <c r="D335" s="28" t="str">
        <f>IFERROR(__xludf.DUMMYFUNCTION("""COMPUTED_VALUE"""),"Revenue")</f>
        <v>Revenue</v>
      </c>
      <c r="E335" s="28" t="str">
        <f>IFERROR(__xludf.DUMMYFUNCTION("""COMPUTED_VALUE"""),"HTMall")</f>
        <v>HTMall</v>
      </c>
      <c r="F335" s="28"/>
      <c r="G335" s="28">
        <v>3636.0</v>
      </c>
      <c r="H335" s="28" t="s">
        <v>135</v>
      </c>
      <c r="J335" s="28" t="s">
        <v>135</v>
      </c>
    </row>
    <row r="336">
      <c r="A336" s="112">
        <f>IFERROR(__xludf.DUMMYFUNCTION("""COMPUTED_VALUE"""),45953.0)</f>
        <v>45953</v>
      </c>
      <c r="B336" s="113">
        <f>IFERROR(__xludf.DUMMYFUNCTION("""COMPUTED_VALUE"""),180.0)</f>
        <v>180</v>
      </c>
      <c r="C336" s="28" t="str">
        <f>IFERROR(__xludf.DUMMYFUNCTION("""COMPUTED_VALUE"""),"Money Out")</f>
        <v>Money Out</v>
      </c>
      <c r="D336" s="28" t="str">
        <f>IFERROR(__xludf.DUMMYFUNCTION("""COMPUTED_VALUE"""),"Product Restocking")</f>
        <v>Product Restocking</v>
      </c>
      <c r="E336" s="28"/>
      <c r="F336" s="28"/>
      <c r="G336" s="28">
        <v>-180.0</v>
      </c>
      <c r="H336" s="28" t="s">
        <v>134</v>
      </c>
      <c r="J336" s="28" t="s">
        <v>134</v>
      </c>
    </row>
    <row r="337">
      <c r="A337" s="112">
        <f>IFERROR(__xludf.DUMMYFUNCTION("""COMPUTED_VALUE"""),45955.0)</f>
        <v>45955</v>
      </c>
      <c r="B337" s="113">
        <f>IFERROR(__xludf.DUMMYFUNCTION("""COMPUTED_VALUE"""),404.0)</f>
        <v>404</v>
      </c>
      <c r="C337" s="28" t="str">
        <f>IFERROR(__xludf.DUMMYFUNCTION("""COMPUTED_VALUE"""),"Money Out")</f>
        <v>Money Out</v>
      </c>
      <c r="D337" s="28" t="str">
        <f>IFERROR(__xludf.DUMMYFUNCTION("""COMPUTED_VALUE"""),"Product Restocking")</f>
        <v>Product Restocking</v>
      </c>
      <c r="E337" s="28"/>
      <c r="F337" s="28"/>
      <c r="G337" s="28">
        <v>-404.0</v>
      </c>
      <c r="H337" s="28" t="s">
        <v>134</v>
      </c>
      <c r="J337" s="28" t="s">
        <v>134</v>
      </c>
    </row>
    <row r="338">
      <c r="A338" s="112">
        <f>IFERROR(__xludf.DUMMYFUNCTION("""COMPUTED_VALUE"""),45956.0)</f>
        <v>45956</v>
      </c>
      <c r="B338" s="113">
        <f>IFERROR(__xludf.DUMMYFUNCTION("""COMPUTED_VALUE"""),743.0)</f>
        <v>743</v>
      </c>
      <c r="C338" s="28" t="str">
        <f>IFERROR(__xludf.DUMMYFUNCTION("""COMPUTED_VALUE"""),"Money Out")</f>
        <v>Money Out</v>
      </c>
      <c r="D338" s="28" t="str">
        <f>IFERROR(__xludf.DUMMYFUNCTION("""COMPUTED_VALUE"""),"Product Restocking")</f>
        <v>Product Restocking</v>
      </c>
      <c r="E338" s="28"/>
      <c r="F338" s="28"/>
      <c r="G338" s="28">
        <v>-743.0</v>
      </c>
      <c r="H338" s="28" t="s">
        <v>134</v>
      </c>
      <c r="J338" s="28" t="s">
        <v>134</v>
      </c>
    </row>
    <row r="339">
      <c r="A339" s="112">
        <f>IFERROR(__xludf.DUMMYFUNCTION("""COMPUTED_VALUE"""),45957.0)</f>
        <v>45957</v>
      </c>
      <c r="B339" s="113">
        <f>IFERROR(__xludf.DUMMYFUNCTION("""COMPUTED_VALUE"""),378.0)</f>
        <v>378</v>
      </c>
      <c r="C339" s="28" t="str">
        <f>IFERROR(__xludf.DUMMYFUNCTION("""COMPUTED_VALUE"""),"Money Out")</f>
        <v>Money Out</v>
      </c>
      <c r="D339" s="28" t="str">
        <f>IFERROR(__xludf.DUMMYFUNCTION("""COMPUTED_VALUE"""),"Product Restocking")</f>
        <v>Product Restocking</v>
      </c>
      <c r="E339" s="28"/>
      <c r="F339" s="28"/>
      <c r="G339" s="28">
        <v>-378.0</v>
      </c>
      <c r="H339" s="28" t="s">
        <v>134</v>
      </c>
      <c r="J339" s="28" t="s">
        <v>134</v>
      </c>
    </row>
    <row r="340">
      <c r="A340" s="112">
        <f>IFERROR(__xludf.DUMMYFUNCTION("""COMPUTED_VALUE"""),45958.0)</f>
        <v>45958</v>
      </c>
      <c r="B340" s="113">
        <f>IFERROR(__xludf.DUMMYFUNCTION("""COMPUTED_VALUE"""),348.0)</f>
        <v>348</v>
      </c>
      <c r="C340" s="28" t="str">
        <f>IFERROR(__xludf.DUMMYFUNCTION("""COMPUTED_VALUE"""),"Money Out")</f>
        <v>Money Out</v>
      </c>
      <c r="D340" s="28" t="str">
        <f>IFERROR(__xludf.DUMMYFUNCTION("""COMPUTED_VALUE"""),"Product Restocking")</f>
        <v>Product Restocking</v>
      </c>
      <c r="E340" s="28"/>
      <c r="F340" s="28"/>
      <c r="G340" s="28">
        <v>-348.0</v>
      </c>
      <c r="H340" s="28" t="s">
        <v>134</v>
      </c>
      <c r="J340" s="28" t="s">
        <v>134</v>
      </c>
    </row>
    <row r="341">
      <c r="A341" s="112">
        <f>IFERROR(__xludf.DUMMYFUNCTION("""COMPUTED_VALUE"""),45959.0)</f>
        <v>45959</v>
      </c>
      <c r="B341" s="113">
        <f>IFERROR(__xludf.DUMMYFUNCTION("""COMPUTED_VALUE"""),987.0)</f>
        <v>987</v>
      </c>
      <c r="C341" s="28" t="str">
        <f>IFERROR(__xludf.DUMMYFUNCTION("""COMPUTED_VALUE"""),"Money Out")</f>
        <v>Money Out</v>
      </c>
      <c r="D341" s="28" t="str">
        <f>IFERROR(__xludf.DUMMYFUNCTION("""COMPUTED_VALUE"""),"Product Restocking")</f>
        <v>Product Restocking</v>
      </c>
      <c r="E341" s="28"/>
      <c r="F341" s="28"/>
      <c r="G341" s="28">
        <v>-987.0</v>
      </c>
      <c r="H341" s="28" t="s">
        <v>134</v>
      </c>
      <c r="J341" s="28" t="s">
        <v>134</v>
      </c>
    </row>
    <row r="342">
      <c r="A342" s="112">
        <f>IFERROR(__xludf.DUMMYFUNCTION("""COMPUTED_VALUE"""),45960.0)</f>
        <v>45960</v>
      </c>
      <c r="B342" s="113">
        <f>IFERROR(__xludf.DUMMYFUNCTION("""COMPUTED_VALUE"""),483.0)</f>
        <v>483</v>
      </c>
      <c r="C342" s="28" t="str">
        <f>IFERROR(__xludf.DUMMYFUNCTION("""COMPUTED_VALUE"""),"Money Out")</f>
        <v>Money Out</v>
      </c>
      <c r="D342" s="28" t="str">
        <f>IFERROR(__xludf.DUMMYFUNCTION("""COMPUTED_VALUE"""),"Product Restocking")</f>
        <v>Product Restocking</v>
      </c>
      <c r="E342" s="28"/>
      <c r="F342" s="28"/>
      <c r="G342" s="28">
        <v>-483.0</v>
      </c>
      <c r="H342" s="28" t="s">
        <v>134</v>
      </c>
      <c r="J342" s="28" t="s">
        <v>134</v>
      </c>
    </row>
    <row r="343">
      <c r="A343" s="112">
        <f>IFERROR(__xludf.DUMMYFUNCTION("""COMPUTED_VALUE"""),45961.0)</f>
        <v>45961</v>
      </c>
      <c r="B343" s="113">
        <f>IFERROR(__xludf.DUMMYFUNCTION("""COMPUTED_VALUE"""),3060.0)</f>
        <v>3060</v>
      </c>
      <c r="C343" s="28" t="str">
        <f>IFERROR(__xludf.DUMMYFUNCTION("""COMPUTED_VALUE"""),"Money In")</f>
        <v>Money In</v>
      </c>
      <c r="D343" s="28" t="str">
        <f>IFERROR(__xludf.DUMMYFUNCTION("""COMPUTED_VALUE"""),"Revenue")</f>
        <v>Revenue</v>
      </c>
      <c r="E343" s="28" t="str">
        <f>IFERROR(__xludf.DUMMYFUNCTION("""COMPUTED_VALUE"""),"HTMall")</f>
        <v>HTMall</v>
      </c>
      <c r="F343" s="28"/>
      <c r="G343" s="28">
        <v>3060.0</v>
      </c>
      <c r="H343" s="28" t="s">
        <v>135</v>
      </c>
      <c r="J343" s="28" t="s">
        <v>135</v>
      </c>
    </row>
    <row r="344">
      <c r="A344" s="112">
        <f>IFERROR(__xludf.DUMMYFUNCTION("""COMPUTED_VALUE"""),45961.0)</f>
        <v>45961</v>
      </c>
      <c r="B344" s="113">
        <f>IFERROR(__xludf.DUMMYFUNCTION("""COMPUTED_VALUE"""),1262.0)</f>
        <v>1262</v>
      </c>
      <c r="C344" s="28" t="str">
        <f>IFERROR(__xludf.DUMMYFUNCTION("""COMPUTED_VALUE"""),"Money In")</f>
        <v>Money In</v>
      </c>
      <c r="D344" s="28" t="str">
        <f>IFERROR(__xludf.DUMMYFUNCTION("""COMPUTED_VALUE"""),"Revenue")</f>
        <v>Revenue</v>
      </c>
      <c r="E344" s="28" t="str">
        <f>IFERROR(__xludf.DUMMYFUNCTION("""COMPUTED_VALUE"""),"SeaCost")</f>
        <v>SeaCost</v>
      </c>
      <c r="F344" s="28"/>
      <c r="G344" s="28">
        <v>1262.0</v>
      </c>
      <c r="H344" s="28" t="s">
        <v>135</v>
      </c>
      <c r="J344" s="28" t="s">
        <v>135</v>
      </c>
    </row>
    <row r="345">
      <c r="A345" s="112">
        <f>IFERROR(__xludf.DUMMYFUNCTION("""COMPUTED_VALUE"""),45961.0)</f>
        <v>45961</v>
      </c>
      <c r="B345" s="113">
        <f>IFERROR(__xludf.DUMMYFUNCTION("""COMPUTED_VALUE"""),2354.0)</f>
        <v>2354</v>
      </c>
      <c r="C345" s="28" t="str">
        <f>IFERROR(__xludf.DUMMYFUNCTION("""COMPUTED_VALUE"""),"Money In")</f>
        <v>Money In</v>
      </c>
      <c r="D345" s="28" t="str">
        <f>IFERROR(__xludf.DUMMYFUNCTION("""COMPUTED_VALUE"""),"Revenue")</f>
        <v>Revenue</v>
      </c>
      <c r="E345" s="28" t="str">
        <f>IFERROR(__xludf.DUMMYFUNCTION("""COMPUTED_VALUE"""),"AlmouasafatHospital")</f>
        <v>AlmouasafatHospital</v>
      </c>
      <c r="F345" s="28"/>
      <c r="G345" s="28">
        <v>2354.0</v>
      </c>
      <c r="H345" s="28" t="s">
        <v>135</v>
      </c>
      <c r="J345" s="28" t="s">
        <v>135</v>
      </c>
    </row>
    <row r="346">
      <c r="A346" s="112">
        <f>IFERROR(__xludf.DUMMYFUNCTION("""COMPUTED_VALUE"""),45961.0)</f>
        <v>45961</v>
      </c>
      <c r="B346" s="113">
        <f>IFERROR(__xludf.DUMMYFUNCTION("""COMPUTED_VALUE"""),819.0)</f>
        <v>819</v>
      </c>
      <c r="C346" s="28" t="str">
        <f>IFERROR(__xludf.DUMMYFUNCTION("""COMPUTED_VALUE"""),"Money In")</f>
        <v>Money In</v>
      </c>
      <c r="D346" s="28" t="str">
        <f>IFERROR(__xludf.DUMMYFUNCTION("""COMPUTED_VALUE"""),"Revenue")</f>
        <v>Revenue</v>
      </c>
      <c r="E346" s="28" t="str">
        <f>IFERROR(__xludf.DUMMYFUNCTION("""COMPUTED_VALUE"""),"deplomacyMall")</f>
        <v>deplomacyMall</v>
      </c>
      <c r="F346" s="28"/>
      <c r="G346" s="28">
        <v>819.0</v>
      </c>
      <c r="H346" s="28" t="s">
        <v>135</v>
      </c>
      <c r="J346" s="28" t="s">
        <v>135</v>
      </c>
    </row>
    <row r="347">
      <c r="A347" s="112">
        <f>IFERROR(__xludf.DUMMYFUNCTION("""COMPUTED_VALUE"""),45963.0)</f>
        <v>45963</v>
      </c>
      <c r="B347" s="113">
        <f>IFERROR(__xludf.DUMMYFUNCTION("""COMPUTED_VALUE"""),521.0)</f>
        <v>521</v>
      </c>
      <c r="C347" s="28" t="str">
        <f>IFERROR(__xludf.DUMMYFUNCTION("""COMPUTED_VALUE"""),"Money Out")</f>
        <v>Money Out</v>
      </c>
      <c r="D347" s="28" t="str">
        <f>IFERROR(__xludf.DUMMYFUNCTION("""COMPUTED_VALUE"""),"Product Restocking")</f>
        <v>Product Restocking</v>
      </c>
      <c r="E347" s="28"/>
      <c r="F347" s="28"/>
      <c r="G347" s="28">
        <v>-521.0</v>
      </c>
      <c r="H347" s="28" t="s">
        <v>134</v>
      </c>
      <c r="J347" s="28" t="s">
        <v>134</v>
      </c>
    </row>
    <row r="348">
      <c r="A348" s="112">
        <f>IFERROR(__xludf.DUMMYFUNCTION("""COMPUTED_VALUE"""),45966.0)</f>
        <v>45966</v>
      </c>
      <c r="B348" s="113">
        <f>IFERROR(__xludf.DUMMYFUNCTION("""COMPUTED_VALUE"""),398.0)</f>
        <v>398</v>
      </c>
      <c r="C348" s="28" t="str">
        <f>IFERROR(__xludf.DUMMYFUNCTION("""COMPUTED_VALUE"""),"Money Out")</f>
        <v>Money Out</v>
      </c>
      <c r="D348" s="28" t="str">
        <f>IFERROR(__xludf.DUMMYFUNCTION("""COMPUTED_VALUE"""),"Product Restocking")</f>
        <v>Product Restocking</v>
      </c>
      <c r="E348" s="28"/>
      <c r="F348" s="28"/>
      <c r="G348" s="28">
        <v>-398.0</v>
      </c>
      <c r="H348" s="28" t="s">
        <v>134</v>
      </c>
      <c r="J348" s="28" t="s">
        <v>134</v>
      </c>
    </row>
    <row r="349">
      <c r="A349" s="112">
        <f>IFERROR(__xludf.DUMMYFUNCTION("""COMPUTED_VALUE"""),45967.0)</f>
        <v>45967</v>
      </c>
      <c r="B349" s="113">
        <f>IFERROR(__xludf.DUMMYFUNCTION("""COMPUTED_VALUE"""),748.0)</f>
        <v>748</v>
      </c>
      <c r="C349" s="28" t="str">
        <f>IFERROR(__xludf.DUMMYFUNCTION("""COMPUTED_VALUE"""),"Money Out")</f>
        <v>Money Out</v>
      </c>
      <c r="D349" s="28" t="str">
        <f>IFERROR(__xludf.DUMMYFUNCTION("""COMPUTED_VALUE"""),"Product Restocking")</f>
        <v>Product Restocking</v>
      </c>
      <c r="E349" s="28"/>
      <c r="F349" s="28"/>
      <c r="G349" s="28">
        <v>-748.0</v>
      </c>
      <c r="H349" s="28" t="s">
        <v>134</v>
      </c>
      <c r="J349" s="28" t="s">
        <v>134</v>
      </c>
    </row>
    <row r="350">
      <c r="A350" s="112">
        <f>IFERROR(__xludf.DUMMYFUNCTION("""COMPUTED_VALUE"""),45969.0)</f>
        <v>45969</v>
      </c>
      <c r="B350" s="113">
        <f>IFERROR(__xludf.DUMMYFUNCTION("""COMPUTED_VALUE"""),852.0)</f>
        <v>852</v>
      </c>
      <c r="C350" s="28" t="str">
        <f>IFERROR(__xludf.DUMMYFUNCTION("""COMPUTED_VALUE"""),"Money Out")</f>
        <v>Money Out</v>
      </c>
      <c r="D350" s="28" t="str">
        <f>IFERROR(__xludf.DUMMYFUNCTION("""COMPUTED_VALUE"""),"Product Restocking")</f>
        <v>Product Restocking</v>
      </c>
      <c r="E350" s="28"/>
      <c r="F350" s="28"/>
      <c r="G350" s="28">
        <v>-852.0</v>
      </c>
      <c r="H350" s="28" t="s">
        <v>134</v>
      </c>
      <c r="J350" s="28" t="s">
        <v>134</v>
      </c>
    </row>
    <row r="351">
      <c r="A351" s="112">
        <f>IFERROR(__xludf.DUMMYFUNCTION("""COMPUTED_VALUE"""),45978.0)</f>
        <v>45978</v>
      </c>
      <c r="B351" s="113">
        <f>IFERROR(__xludf.DUMMYFUNCTION("""COMPUTED_VALUE"""),1421.0)</f>
        <v>1421</v>
      </c>
      <c r="C351" s="28" t="str">
        <f>IFERROR(__xludf.DUMMYFUNCTION("""COMPUTED_VALUE"""),"Money Out")</f>
        <v>Money Out</v>
      </c>
      <c r="D351" s="28"/>
      <c r="E351" s="28"/>
      <c r="F351" s="28" t="str">
        <f>IFERROR(__xludf.DUMMYFUNCTION("""COMPUTED_VALUE"""),"تعديل الميزانيه")</f>
        <v>تعديل الميزانيه</v>
      </c>
      <c r="G351" s="28">
        <v>-1421.0</v>
      </c>
      <c r="H351" s="28" t="s">
        <v>146</v>
      </c>
      <c r="J351" s="28" t="s">
        <v>146</v>
      </c>
    </row>
    <row r="352">
      <c r="A352" s="112">
        <f>IFERROR(__xludf.DUMMYFUNCTION("""COMPUTED_VALUE"""),45979.0)</f>
        <v>45979</v>
      </c>
      <c r="B352" s="113">
        <f>IFERROR(__xludf.DUMMYFUNCTION("""COMPUTED_VALUE"""),13000.0)</f>
        <v>13000</v>
      </c>
      <c r="C352" s="28" t="str">
        <f>IFERROR(__xludf.DUMMYFUNCTION("""COMPUTED_VALUE"""),"Money Out")</f>
        <v>Money Out</v>
      </c>
      <c r="D352" s="28"/>
      <c r="E352" s="28"/>
      <c r="F352" s="28" t="str">
        <f>IFERROR(__xludf.DUMMYFUNCTION("""COMPUTED_VALUE"""),"new machine ")</f>
        <v>new machine </v>
      </c>
      <c r="G352" s="28">
        <v>-13000.0</v>
      </c>
      <c r="H352" s="28" t="s">
        <v>146</v>
      </c>
      <c r="J352" s="28" t="s">
        <v>146</v>
      </c>
    </row>
    <row r="353">
      <c r="A353" s="112">
        <f>IFERROR(__xludf.DUMMYFUNCTION("""COMPUTED_VALUE"""),45979.0)</f>
        <v>45979</v>
      </c>
      <c r="B353" s="113">
        <f>IFERROR(__xludf.DUMMYFUNCTION("""COMPUTED_VALUE"""),3000.0)</f>
        <v>3000</v>
      </c>
      <c r="C353" s="28" t="str">
        <f>IFERROR(__xludf.DUMMYFUNCTION("""COMPUTED_VALUE"""),"Money Out")</f>
        <v>Money Out</v>
      </c>
      <c r="D353" s="28" t="str">
        <f>IFERROR(__xludf.DUMMYFUNCTION("""COMPUTED_VALUE"""),"Anas")</f>
        <v>Anas</v>
      </c>
      <c r="E353" s="28"/>
      <c r="F353" s="28"/>
      <c r="G353" s="28">
        <v>-3000.0</v>
      </c>
      <c r="H353" s="28" t="s">
        <v>139</v>
      </c>
      <c r="J353" s="28" t="s">
        <v>139</v>
      </c>
    </row>
    <row r="354">
      <c r="A354" s="112">
        <f>IFERROR(__xludf.DUMMYFUNCTION("""COMPUTED_VALUE"""),45980.0)</f>
        <v>45980</v>
      </c>
      <c r="B354" s="113">
        <f>IFERROR(__xludf.DUMMYFUNCTION("""COMPUTED_VALUE"""),4942.0)</f>
        <v>4942</v>
      </c>
      <c r="C354" s="28" t="str">
        <f>IFERROR(__xludf.DUMMYFUNCTION("""COMPUTED_VALUE"""),"Money Out")</f>
        <v>Money Out</v>
      </c>
      <c r="D354" s="28" t="str">
        <f>IFERROR(__xludf.DUMMYFUNCTION("""COMPUTED_VALUE"""),"Product Restocking")</f>
        <v>Product Restocking</v>
      </c>
      <c r="E354" s="28"/>
      <c r="F354" s="28"/>
      <c r="G354" s="28">
        <v>-4942.0</v>
      </c>
      <c r="H354" s="28" t="s">
        <v>134</v>
      </c>
      <c r="J354" s="28" t="s">
        <v>134</v>
      </c>
    </row>
    <row r="355">
      <c r="A355" s="112">
        <f>IFERROR(__xludf.DUMMYFUNCTION("""COMPUTED_VALUE"""),45991.0)</f>
        <v>45991</v>
      </c>
      <c r="B355" s="113">
        <f>IFERROR(__xludf.DUMMYFUNCTION("""COMPUTED_VALUE"""),3893.0)</f>
        <v>3893</v>
      </c>
      <c r="C355" s="28" t="str">
        <f>IFERROR(__xludf.DUMMYFUNCTION("""COMPUTED_VALUE"""),"Money In")</f>
        <v>Money In</v>
      </c>
      <c r="D355" s="28" t="str">
        <f>IFERROR(__xludf.DUMMYFUNCTION("""COMPUTED_VALUE"""),"Revenue")</f>
        <v>Revenue</v>
      </c>
      <c r="E355" s="28" t="str">
        <f>IFERROR(__xludf.DUMMYFUNCTION("""COMPUTED_VALUE"""),"deplomacyMall")</f>
        <v>deplomacyMall</v>
      </c>
      <c r="F355" s="28"/>
      <c r="G355" s="28">
        <v>3893.0</v>
      </c>
      <c r="H355" s="28" t="s">
        <v>135</v>
      </c>
      <c r="J355" s="28" t="s">
        <v>135</v>
      </c>
    </row>
    <row r="356">
      <c r="A356" s="112">
        <f>IFERROR(__xludf.DUMMYFUNCTION("""COMPUTED_VALUE"""),45991.0)</f>
        <v>45991</v>
      </c>
      <c r="B356" s="113">
        <f>IFERROR(__xludf.DUMMYFUNCTION("""COMPUTED_VALUE"""),4284.0)</f>
        <v>4284</v>
      </c>
      <c r="C356" s="28" t="str">
        <f>IFERROR(__xludf.DUMMYFUNCTION("""COMPUTED_VALUE"""),"Money In")</f>
        <v>Money In</v>
      </c>
      <c r="D356" s="28" t="str">
        <f>IFERROR(__xludf.DUMMYFUNCTION("""COMPUTED_VALUE"""),"Revenue")</f>
        <v>Revenue</v>
      </c>
      <c r="E356" s="28" t="str">
        <f>IFERROR(__xludf.DUMMYFUNCTION("""COMPUTED_VALUE"""),"AlmouasafatHospital")</f>
        <v>AlmouasafatHospital</v>
      </c>
      <c r="F356" s="28"/>
      <c r="G356" s="28">
        <v>4284.0</v>
      </c>
      <c r="H356" s="28" t="s">
        <v>135</v>
      </c>
      <c r="J356" s="28" t="s">
        <v>135</v>
      </c>
    </row>
    <row r="357">
      <c r="A357" s="112">
        <f>IFERROR(__xludf.DUMMYFUNCTION("""COMPUTED_VALUE"""),45991.0)</f>
        <v>45991</v>
      </c>
      <c r="B357" s="113">
        <f>IFERROR(__xludf.DUMMYFUNCTION("""COMPUTED_VALUE"""),3493.0)</f>
        <v>3493</v>
      </c>
      <c r="C357" s="28" t="str">
        <f>IFERROR(__xludf.DUMMYFUNCTION("""COMPUTED_VALUE"""),"Money In")</f>
        <v>Money In</v>
      </c>
      <c r="D357" s="28" t="str">
        <f>IFERROR(__xludf.DUMMYFUNCTION("""COMPUTED_VALUE"""),"Revenue")</f>
        <v>Revenue</v>
      </c>
      <c r="E357" s="28" t="str">
        <f>IFERROR(__xludf.DUMMYFUNCTION("""COMPUTED_VALUE"""),"SeaCost")</f>
        <v>SeaCost</v>
      </c>
      <c r="F357" s="28"/>
      <c r="G357" s="28">
        <v>3493.0</v>
      </c>
      <c r="H357" s="28" t="s">
        <v>135</v>
      </c>
      <c r="J357" s="28" t="s">
        <v>135</v>
      </c>
    </row>
    <row r="358">
      <c r="A358" s="112">
        <f>IFERROR(__xludf.DUMMYFUNCTION("""COMPUTED_VALUE"""),45991.0)</f>
        <v>45991</v>
      </c>
      <c r="B358" s="113">
        <f>IFERROR(__xludf.DUMMYFUNCTION("""COMPUTED_VALUE"""),5090.0)</f>
        <v>5090</v>
      </c>
      <c r="C358" s="28" t="str">
        <f>IFERROR(__xludf.DUMMYFUNCTION("""COMPUTED_VALUE"""),"Money In")</f>
        <v>Money In</v>
      </c>
      <c r="D358" s="28" t="str">
        <f>IFERROR(__xludf.DUMMYFUNCTION("""COMPUTED_VALUE"""),"Revenue")</f>
        <v>Revenue</v>
      </c>
      <c r="E358" s="28" t="str">
        <f>IFERROR(__xludf.DUMMYFUNCTION("""COMPUTED_VALUE"""),"HTMall")</f>
        <v>HTMall</v>
      </c>
      <c r="F358" s="28"/>
      <c r="G358" s="28">
        <v>5090.0</v>
      </c>
      <c r="H358" s="28" t="s">
        <v>135</v>
      </c>
      <c r="J358" s="28" t="s">
        <v>135</v>
      </c>
    </row>
    <row r="359">
      <c r="A359" s="112">
        <f>IFERROR(__xludf.DUMMYFUNCTION("""COMPUTED_VALUE"""),45995.0)</f>
        <v>45995</v>
      </c>
      <c r="B359" s="113">
        <f>IFERROR(__xludf.DUMMYFUNCTION("""COMPUTED_VALUE"""),500.0)</f>
        <v>500</v>
      </c>
      <c r="C359" s="28" t="str">
        <f>IFERROR(__xludf.DUMMYFUNCTION("""COMPUTED_VALUE"""),"Money Out")</f>
        <v>Money Out</v>
      </c>
      <c r="D359" s="28"/>
      <c r="E359" s="28"/>
      <c r="F359" s="28" t="str">
        <f>IFERROR(__xludf.DUMMYFUNCTION("""COMPUTED_VALUE"""),"عربون للمصمم")</f>
        <v>عربون للمصمم</v>
      </c>
      <c r="G359" s="28">
        <v>-500.0</v>
      </c>
      <c r="H359" s="28" t="s">
        <v>146</v>
      </c>
      <c r="J359" s="28" t="s">
        <v>146</v>
      </c>
    </row>
    <row r="360">
      <c r="A360" s="112">
        <f>IFERROR(__xludf.DUMMYFUNCTION("""COMPUTED_VALUE"""),45998.0)</f>
        <v>45998</v>
      </c>
      <c r="B360" s="113">
        <f>IFERROR(__xludf.DUMMYFUNCTION("""COMPUTED_VALUE"""),700.0)</f>
        <v>700</v>
      </c>
      <c r="C360" s="28" t="str">
        <f>IFERROR(__xludf.DUMMYFUNCTION("""COMPUTED_VALUE"""),"Money Out")</f>
        <v>Money Out</v>
      </c>
      <c r="D360" s="28"/>
      <c r="E360" s="28" t="str">
        <f>IFERROR(__xludf.DUMMYFUNCTION("""COMPUTED_VALUE"""),"SeaCost")</f>
        <v>SeaCost</v>
      </c>
      <c r="F360" s="28" t="str">
        <f>IFERROR(__xludf.DUMMYFUNCTION("""COMPUTED_VALUE"""),"ايجار seacost")</f>
        <v>ايجار seacost</v>
      </c>
      <c r="G360" s="28">
        <v>-700.0</v>
      </c>
      <c r="H360" s="28" t="s">
        <v>146</v>
      </c>
      <c r="J360" s="28" t="s">
        <v>146</v>
      </c>
    </row>
    <row r="361">
      <c r="A361" s="112">
        <f>IFERROR(__xludf.DUMMYFUNCTION("""COMPUTED_VALUE"""),45998.0)</f>
        <v>45998</v>
      </c>
      <c r="B361" s="113">
        <f>IFERROR(__xludf.DUMMYFUNCTION("""COMPUTED_VALUE"""),100.0)</f>
        <v>100</v>
      </c>
      <c r="C361" s="28" t="str">
        <f>IFERROR(__xludf.DUMMYFUNCTION("""COMPUTED_VALUE"""),"Money Out")</f>
        <v>Money Out</v>
      </c>
      <c r="D361" s="28"/>
      <c r="E361" s="28" t="str">
        <f>IFERROR(__xludf.DUMMYFUNCTION("""COMPUTED_VALUE"""),"HTMall")</f>
        <v>HTMall</v>
      </c>
      <c r="F361" s="28" t="str">
        <f>IFERROR(__xludf.DUMMYFUNCTION("""COMPUTED_VALUE"""),"كهرباء")</f>
        <v>كهرباء</v>
      </c>
      <c r="G361" s="28">
        <v>-100.0</v>
      </c>
      <c r="H361" s="28" t="s">
        <v>146</v>
      </c>
      <c r="J361" s="28" t="s">
        <v>146</v>
      </c>
    </row>
    <row r="362">
      <c r="A362" s="112">
        <f>IFERROR(__xludf.DUMMYFUNCTION("""COMPUTED_VALUE"""),45998.0)</f>
        <v>45998</v>
      </c>
      <c r="B362" s="113">
        <f>IFERROR(__xludf.DUMMYFUNCTION("""COMPUTED_VALUE"""),1400.0)</f>
        <v>1400</v>
      </c>
      <c r="C362" s="28" t="str">
        <f>IFERROR(__xludf.DUMMYFUNCTION("""COMPUTED_VALUE"""),"Money Out")</f>
        <v>Money Out</v>
      </c>
      <c r="D362" s="28" t="str">
        <f>IFERROR(__xludf.DUMMYFUNCTION("""COMPUTED_VALUE"""),"Ahmed")</f>
        <v>Ahmed</v>
      </c>
      <c r="E362" s="28"/>
      <c r="F362" s="28" t="str">
        <f>IFERROR(__xludf.DUMMYFUNCTION("""COMPUTED_VALUE"""),"مرتب شهر 11 احمد")</f>
        <v>مرتب شهر 11 احمد</v>
      </c>
      <c r="G362" s="28">
        <v>-1400.0</v>
      </c>
      <c r="H362" s="28" t="s">
        <v>136</v>
      </c>
      <c r="J362" s="28" t="s">
        <v>136</v>
      </c>
    </row>
    <row r="363">
      <c r="A363" s="112">
        <f>IFERROR(__xludf.DUMMYFUNCTION("""COMPUTED_VALUE"""),45998.0)</f>
        <v>45998</v>
      </c>
      <c r="B363" s="113">
        <f>IFERROR(__xludf.DUMMYFUNCTION("""COMPUTED_VALUE"""),10656.0)</f>
        <v>10656</v>
      </c>
      <c r="C363" s="28" t="str">
        <f>IFERROR(__xludf.DUMMYFUNCTION("""COMPUTED_VALUE"""),"Money Out")</f>
        <v>Money Out</v>
      </c>
      <c r="D363" s="28" t="str">
        <f>IFERROR(__xludf.DUMMYFUNCTION("""COMPUTED_VALUE"""),"Product Restocking")</f>
        <v>Product Restocking</v>
      </c>
      <c r="E363" s="28"/>
      <c r="F363" s="28" t="str">
        <f>IFERROR(__xludf.DUMMYFUNCTION("""COMPUTED_VALUE"""),"لاحمد لشراء بضاعه")</f>
        <v>لاحمد لشراء بضاعه</v>
      </c>
      <c r="G363" s="28">
        <v>-10656.0</v>
      </c>
      <c r="H363" s="28" t="s">
        <v>134</v>
      </c>
      <c r="J363" s="28" t="s">
        <v>134</v>
      </c>
    </row>
    <row r="364">
      <c r="A364" s="112">
        <f>IFERROR(__xludf.DUMMYFUNCTION("""COMPUTED_VALUE"""),46011.0)</f>
        <v>46011</v>
      </c>
      <c r="B364" s="113">
        <f>IFERROR(__xludf.DUMMYFUNCTION("""COMPUTED_VALUE"""),2329.0)</f>
        <v>2329</v>
      </c>
      <c r="C364" s="28" t="str">
        <f>IFERROR(__xludf.DUMMYFUNCTION("""COMPUTED_VALUE"""),"Money In")</f>
        <v>Money In</v>
      </c>
      <c r="D364" s="28" t="str">
        <f>IFERROR(__xludf.DUMMYFUNCTION("""COMPUTED_VALUE"""),"Revenue")</f>
        <v>Revenue</v>
      </c>
      <c r="E364" s="28" t="str">
        <f>IFERROR(__xludf.DUMMYFUNCTION("""COMPUTED_VALUE"""),"deplomacyMall")</f>
        <v>deplomacyMall</v>
      </c>
      <c r="F364" s="28"/>
      <c r="G364" s="28">
        <v>2329.0</v>
      </c>
      <c r="H364" s="28" t="s">
        <v>135</v>
      </c>
      <c r="J364" s="28" t="s">
        <v>135</v>
      </c>
    </row>
    <row r="365">
      <c r="A365" s="112">
        <f>IFERROR(__xludf.DUMMYFUNCTION("""COMPUTED_VALUE"""),46011.0)</f>
        <v>46011</v>
      </c>
      <c r="B365" s="113">
        <f>IFERROR(__xludf.DUMMYFUNCTION("""COMPUTED_VALUE"""),2766.0)</f>
        <v>2766</v>
      </c>
      <c r="C365" s="28" t="str">
        <f>IFERROR(__xludf.DUMMYFUNCTION("""COMPUTED_VALUE"""),"Money In")</f>
        <v>Money In</v>
      </c>
      <c r="D365" s="28" t="str">
        <f>IFERROR(__xludf.DUMMYFUNCTION("""COMPUTED_VALUE"""),"Revenue")</f>
        <v>Revenue</v>
      </c>
      <c r="E365" s="28" t="str">
        <f>IFERROR(__xludf.DUMMYFUNCTION("""COMPUTED_VALUE"""),"AlmouasafatHospital")</f>
        <v>AlmouasafatHospital</v>
      </c>
      <c r="F365" s="28"/>
      <c r="G365" s="28">
        <v>2766.0</v>
      </c>
      <c r="H365" s="28" t="s">
        <v>135</v>
      </c>
      <c r="J365" s="28" t="s">
        <v>135</v>
      </c>
    </row>
    <row r="366">
      <c r="A366" s="112">
        <f>IFERROR(__xludf.DUMMYFUNCTION("""COMPUTED_VALUE"""),46011.0)</f>
        <v>46011</v>
      </c>
      <c r="B366" s="113">
        <f>IFERROR(__xludf.DUMMYFUNCTION("""COMPUTED_VALUE"""),2607.0)</f>
        <v>2607</v>
      </c>
      <c r="C366" s="28" t="str">
        <f>IFERROR(__xludf.DUMMYFUNCTION("""COMPUTED_VALUE"""),"Money In")</f>
        <v>Money In</v>
      </c>
      <c r="D366" s="28" t="str">
        <f>IFERROR(__xludf.DUMMYFUNCTION("""COMPUTED_VALUE"""),"Revenue")</f>
        <v>Revenue</v>
      </c>
      <c r="E366" s="28" t="str">
        <f>IFERROR(__xludf.DUMMYFUNCTION("""COMPUTED_VALUE"""),"SeaCost")</f>
        <v>SeaCost</v>
      </c>
      <c r="F366" s="28"/>
      <c r="G366" s="28">
        <v>2607.0</v>
      </c>
      <c r="H366" s="28" t="s">
        <v>135</v>
      </c>
      <c r="J366" s="28" t="s">
        <v>135</v>
      </c>
    </row>
    <row r="367">
      <c r="A367" s="112">
        <f>IFERROR(__xludf.DUMMYFUNCTION("""COMPUTED_VALUE"""),46011.0)</f>
        <v>46011</v>
      </c>
      <c r="B367" s="113">
        <f>IFERROR(__xludf.DUMMYFUNCTION("""COMPUTED_VALUE"""),3085.0)</f>
        <v>3085</v>
      </c>
      <c r="C367" s="28" t="str">
        <f>IFERROR(__xludf.DUMMYFUNCTION("""COMPUTED_VALUE"""),"Money In")</f>
        <v>Money In</v>
      </c>
      <c r="D367" s="28" t="str">
        <f>IFERROR(__xludf.DUMMYFUNCTION("""COMPUTED_VALUE"""),"Revenue")</f>
        <v>Revenue</v>
      </c>
      <c r="E367" s="28" t="str">
        <f>IFERROR(__xludf.DUMMYFUNCTION("""COMPUTED_VALUE"""),"HTMall")</f>
        <v>HTMall</v>
      </c>
      <c r="F367" s="28"/>
      <c r="G367" s="28">
        <v>3085.0</v>
      </c>
      <c r="H367" s="28" t="s">
        <v>135</v>
      </c>
      <c r="J367" s="28" t="s">
        <v>135</v>
      </c>
    </row>
    <row r="368">
      <c r="A368" s="112">
        <f>IFERROR(__xludf.DUMMYFUNCTION("""COMPUTED_VALUE"""),46013.0)</f>
        <v>46013</v>
      </c>
      <c r="B368" s="113">
        <f>IFERROR(__xludf.DUMMYFUNCTION("""COMPUTED_VALUE"""),6400.0)</f>
        <v>6400</v>
      </c>
      <c r="C368" s="28" t="str">
        <f>IFERROR(__xludf.DUMMYFUNCTION("""COMPUTED_VALUE"""),"Money Out")</f>
        <v>Money Out</v>
      </c>
      <c r="D368" s="28"/>
      <c r="E368" s="28"/>
      <c r="F368" s="28" t="str">
        <f>IFERROR(__xludf.DUMMYFUNCTION("""COMPUTED_VALUE"""),"خضم ديون الى توربو")</f>
        <v>خضم ديون الى توربو</v>
      </c>
      <c r="G368" s="28">
        <v>-6400.0</v>
      </c>
      <c r="H368" s="28" t="s">
        <v>146</v>
      </c>
      <c r="J368" s="28" t="s">
        <v>146</v>
      </c>
    </row>
    <row r="369">
      <c r="A369" s="112">
        <f>IFERROR(__xludf.DUMMYFUNCTION("""COMPUTED_VALUE"""),46020.0)</f>
        <v>46020</v>
      </c>
      <c r="B369" s="113">
        <f>IFERROR(__xludf.DUMMYFUNCTION("""COMPUTED_VALUE"""),1050.0)</f>
        <v>1050</v>
      </c>
      <c r="C369" s="28" t="str">
        <f>IFERROR(__xludf.DUMMYFUNCTION("""COMPUTED_VALUE"""),"Money Out")</f>
        <v>Money Out</v>
      </c>
      <c r="D369" s="28" t="str">
        <f>IFERROR(__xludf.DUMMYFUNCTION("""COMPUTED_VALUE"""),"Product Restocking")</f>
        <v>Product Restocking</v>
      </c>
      <c r="E369" s="28"/>
      <c r="F369" s="28"/>
      <c r="G369" s="28">
        <v>-1050.0</v>
      </c>
      <c r="H369" s="28" t="s">
        <v>134</v>
      </c>
      <c r="J369" s="28" t="s">
        <v>134</v>
      </c>
    </row>
    <row r="370">
      <c r="A370" s="112">
        <f>IFERROR(__xludf.DUMMYFUNCTION("""COMPUTED_VALUE"""),46019.0)</f>
        <v>46019</v>
      </c>
      <c r="B370" s="113">
        <f>IFERROR(__xludf.DUMMYFUNCTION("""COMPUTED_VALUE"""),840.0)</f>
        <v>840</v>
      </c>
      <c r="C370" s="28" t="str">
        <f>IFERROR(__xludf.DUMMYFUNCTION("""COMPUTED_VALUE"""),"Money Out")</f>
        <v>Money Out</v>
      </c>
      <c r="D370" s="28" t="str">
        <f>IFERROR(__xludf.DUMMYFUNCTION("""COMPUTED_VALUE"""),"charity")</f>
        <v>charity</v>
      </c>
      <c r="E370" s="28"/>
      <c r="F370" s="28"/>
      <c r="G370" s="28">
        <v>-840.0</v>
      </c>
      <c r="H370" s="28" t="s">
        <v>136</v>
      </c>
      <c r="J370" s="28" t="s">
        <v>136</v>
      </c>
    </row>
    <row r="371">
      <c r="A371" s="112">
        <f>IFERROR(__xludf.DUMMYFUNCTION("""COMPUTED_VALUE"""),46019.0)</f>
        <v>46019</v>
      </c>
      <c r="B371" s="113">
        <f>IFERROR(__xludf.DUMMYFUNCTION("""COMPUTED_VALUE"""),4083.0)</f>
        <v>4083</v>
      </c>
      <c r="C371" s="28" t="str">
        <f>IFERROR(__xludf.DUMMYFUNCTION("""COMPUTED_VALUE"""),"Money In")</f>
        <v>Money In</v>
      </c>
      <c r="D371" s="28" t="str">
        <f>IFERROR(__xludf.DUMMYFUNCTION("""COMPUTED_VALUE"""),"Revenue")</f>
        <v>Revenue</v>
      </c>
      <c r="E371" s="28" t="str">
        <f>IFERROR(__xludf.DUMMYFUNCTION("""COMPUTED_VALUE"""),"HTMall")</f>
        <v>HTMall</v>
      </c>
      <c r="F371" s="28"/>
      <c r="G371" s="28">
        <v>4083.0</v>
      </c>
      <c r="H371" s="28" t="s">
        <v>135</v>
      </c>
      <c r="J371" s="28" t="s">
        <v>135</v>
      </c>
    </row>
    <row r="372">
      <c r="A372" s="112">
        <f>IFERROR(__xludf.DUMMYFUNCTION("""COMPUTED_VALUE"""),46022.0)</f>
        <v>46022</v>
      </c>
      <c r="B372" s="113">
        <f>IFERROR(__xludf.DUMMYFUNCTION("""COMPUTED_VALUE"""),924.0)</f>
        <v>924</v>
      </c>
      <c r="C372" s="28" t="str">
        <f>IFERROR(__xludf.DUMMYFUNCTION("""COMPUTED_VALUE"""),"Money In")</f>
        <v>Money In</v>
      </c>
      <c r="D372" s="28" t="str">
        <f>IFERROR(__xludf.DUMMYFUNCTION("""COMPUTED_VALUE"""),"Revenue")</f>
        <v>Revenue</v>
      </c>
      <c r="E372" s="28" t="str">
        <f>IFERROR(__xludf.DUMMYFUNCTION("""COMPUTED_VALUE"""),"HTMall")</f>
        <v>HTMall</v>
      </c>
      <c r="F372" s="28"/>
      <c r="G372" s="28">
        <v>924.0</v>
      </c>
      <c r="H372" s="28" t="s">
        <v>135</v>
      </c>
      <c r="J372" s="28" t="s">
        <v>135</v>
      </c>
    </row>
    <row r="373">
      <c r="A373" s="112">
        <f>IFERROR(__xludf.DUMMYFUNCTION("""COMPUTED_VALUE"""),46022.0)</f>
        <v>46022</v>
      </c>
      <c r="B373" s="113">
        <f>IFERROR(__xludf.DUMMYFUNCTION("""COMPUTED_VALUE"""),2292.0)</f>
        <v>2292</v>
      </c>
      <c r="C373" s="28" t="str">
        <f>IFERROR(__xludf.DUMMYFUNCTION("""COMPUTED_VALUE"""),"Money In")</f>
        <v>Money In</v>
      </c>
      <c r="D373" s="28" t="str">
        <f>IFERROR(__xludf.DUMMYFUNCTION("""COMPUTED_VALUE"""),"Revenue")</f>
        <v>Revenue</v>
      </c>
      <c r="E373" s="28" t="str">
        <f>IFERROR(__xludf.DUMMYFUNCTION("""COMPUTED_VALUE"""),"deplomacyMall")</f>
        <v>deplomacyMall</v>
      </c>
      <c r="F373" s="28"/>
      <c r="G373" s="28">
        <v>2292.0</v>
      </c>
      <c r="H373" s="28" t="s">
        <v>135</v>
      </c>
      <c r="J373" s="28" t="s">
        <v>135</v>
      </c>
    </row>
    <row r="374">
      <c r="A374" s="112">
        <f>IFERROR(__xludf.DUMMYFUNCTION("""COMPUTED_VALUE"""),46022.0)</f>
        <v>46022</v>
      </c>
      <c r="B374" s="113">
        <f>IFERROR(__xludf.DUMMYFUNCTION("""COMPUTED_VALUE"""),1192.0)</f>
        <v>1192</v>
      </c>
      <c r="C374" s="28" t="str">
        <f>IFERROR(__xludf.DUMMYFUNCTION("""COMPUTED_VALUE"""),"Money In")</f>
        <v>Money In</v>
      </c>
      <c r="D374" s="28" t="str">
        <f>IFERROR(__xludf.DUMMYFUNCTION("""COMPUTED_VALUE"""),"Revenue")</f>
        <v>Revenue</v>
      </c>
      <c r="E374" s="28" t="str">
        <f>IFERROR(__xludf.DUMMYFUNCTION("""COMPUTED_VALUE"""),"SeaCost")</f>
        <v>SeaCost</v>
      </c>
      <c r="F374" s="28"/>
      <c r="G374" s="28">
        <v>1192.0</v>
      </c>
      <c r="H374" s="28" t="s">
        <v>135</v>
      </c>
      <c r="J374" s="28" t="s">
        <v>135</v>
      </c>
    </row>
    <row r="375">
      <c r="A375" s="112">
        <f>IFERROR(__xludf.DUMMYFUNCTION("""COMPUTED_VALUE"""),46022.0)</f>
        <v>46022</v>
      </c>
      <c r="B375" s="113">
        <f>IFERROR(__xludf.DUMMYFUNCTION("""COMPUTED_VALUE"""),2349.0)</f>
        <v>2349</v>
      </c>
      <c r="C375" s="28" t="str">
        <f>IFERROR(__xludf.DUMMYFUNCTION("""COMPUTED_VALUE"""),"Money In")</f>
        <v>Money In</v>
      </c>
      <c r="D375" s="28" t="str">
        <f>IFERROR(__xludf.DUMMYFUNCTION("""COMPUTED_VALUE"""),"Revenue")</f>
        <v>Revenue</v>
      </c>
      <c r="E375" s="28" t="str">
        <f>IFERROR(__xludf.DUMMYFUNCTION("""COMPUTED_VALUE"""),"AlmouasafatHospital")</f>
        <v>AlmouasafatHospital</v>
      </c>
      <c r="F375" s="28"/>
      <c r="G375" s="28">
        <v>2349.0</v>
      </c>
      <c r="H375" s="28" t="s">
        <v>135</v>
      </c>
      <c r="J375" s="28" t="s">
        <v>135</v>
      </c>
    </row>
    <row r="376">
      <c r="A376" s="112">
        <f>IFERROR(__xludf.DUMMYFUNCTION("""COMPUTED_VALUE"""),46027.0)</f>
        <v>46027</v>
      </c>
      <c r="B376" s="113">
        <f>IFERROR(__xludf.DUMMYFUNCTION("""COMPUTED_VALUE"""),11810.0)</f>
        <v>11810</v>
      </c>
      <c r="C376" s="28" t="str">
        <f>IFERROR(__xludf.DUMMYFUNCTION("""COMPUTED_VALUE"""),"Money Out")</f>
        <v>Money Out</v>
      </c>
      <c r="D376" s="28" t="str">
        <f>IFERROR(__xludf.DUMMYFUNCTION("""COMPUTED_VALUE"""),"shipping")</f>
        <v>shipping</v>
      </c>
      <c r="E376" s="28"/>
      <c r="F376" s="28"/>
      <c r="G376" s="28">
        <v>-11810.0</v>
      </c>
      <c r="H376" s="28" t="s">
        <v>146</v>
      </c>
      <c r="J376" s="28" t="s">
        <v>146</v>
      </c>
    </row>
    <row r="377">
      <c r="A377" s="112">
        <f>IFERROR(__xludf.DUMMYFUNCTION("""COMPUTED_VALUE"""),46028.0)</f>
        <v>46028</v>
      </c>
      <c r="B377" s="113">
        <f>IFERROR(__xludf.DUMMYFUNCTION("""COMPUTED_VALUE"""),500.0)</f>
        <v>500</v>
      </c>
      <c r="C377" s="28" t="str">
        <f>IFERROR(__xludf.DUMMYFUNCTION("""COMPUTED_VALUE"""),"Money Out")</f>
        <v>Money Out</v>
      </c>
      <c r="D377" s="28"/>
      <c r="E377" s="28"/>
      <c r="F377" s="28" t="str">
        <f>IFERROR(__xludf.DUMMYFUNCTION("""COMPUTED_VALUE"""),"نقل ماكينات")</f>
        <v>نقل ماكينات</v>
      </c>
      <c r="G377" s="28">
        <v>-500.0</v>
      </c>
      <c r="H377" s="28" t="s">
        <v>146</v>
      </c>
      <c r="J377" s="28" t="s">
        <v>146</v>
      </c>
    </row>
    <row r="378">
      <c r="A378" s="112">
        <f>IFERROR(__xludf.DUMMYFUNCTION("""COMPUTED_VALUE"""),46038.0)</f>
        <v>46038</v>
      </c>
      <c r="B378" s="113">
        <f>IFERROR(__xludf.DUMMYFUNCTION("""COMPUTED_VALUE"""),8000.0)</f>
        <v>8000</v>
      </c>
      <c r="C378" s="28" t="str">
        <f>IFERROR(__xludf.DUMMYFUNCTION("""COMPUTED_VALUE"""),"Money Out")</f>
        <v>Money Out</v>
      </c>
      <c r="D378" s="28" t="str">
        <f>IFERROR(__xludf.DUMMYFUNCTION("""COMPUTED_VALUE"""),"Product Restocking")</f>
        <v>Product Restocking</v>
      </c>
      <c r="E378" s="28"/>
      <c r="F378" s="28"/>
      <c r="G378" s="28">
        <v>-8000.0</v>
      </c>
      <c r="H378" s="28" t="s">
        <v>134</v>
      </c>
      <c r="J378" s="28" t="s">
        <v>134</v>
      </c>
    </row>
    <row r="379">
      <c r="A379" s="112">
        <f>IFERROR(__xludf.DUMMYFUNCTION("""COMPUTED_VALUE"""),46038.0)</f>
        <v>46038</v>
      </c>
      <c r="B379" s="113">
        <f>IFERROR(__xludf.DUMMYFUNCTION("""COMPUTED_VALUE"""),3040.0)</f>
        <v>3040</v>
      </c>
      <c r="C379" s="28" t="str">
        <f>IFERROR(__xludf.DUMMYFUNCTION("""COMPUTED_VALUE"""),"Money Out")</f>
        <v>Money Out</v>
      </c>
      <c r="D379" s="28" t="str">
        <f>IFERROR(__xludf.DUMMYFUNCTION("""COMPUTED_VALUE"""),"Product Restocking")</f>
        <v>Product Restocking</v>
      </c>
      <c r="E379" s="28"/>
      <c r="F379" s="28"/>
      <c r="G379" s="28">
        <v>-3040.0</v>
      </c>
      <c r="H379" s="28" t="s">
        <v>134</v>
      </c>
      <c r="J379" s="28" t="s">
        <v>134</v>
      </c>
    </row>
    <row r="380">
      <c r="A380" s="112">
        <f>IFERROR(__xludf.DUMMYFUNCTION("""COMPUTED_VALUE"""),46037.0)</f>
        <v>46037</v>
      </c>
      <c r="B380" s="113">
        <f>IFERROR(__xludf.DUMMYFUNCTION("""COMPUTED_VALUE"""),2473.0)</f>
        <v>2473</v>
      </c>
      <c r="C380" s="28" t="str">
        <f>IFERROR(__xludf.DUMMYFUNCTION("""COMPUTED_VALUE"""),"Money In")</f>
        <v>Money In</v>
      </c>
      <c r="D380" s="28" t="str">
        <f>IFERROR(__xludf.DUMMYFUNCTION("""COMPUTED_VALUE"""),"Revenue")</f>
        <v>Revenue</v>
      </c>
      <c r="E380" s="28" t="str">
        <f>IFERROR(__xludf.DUMMYFUNCTION("""COMPUTED_VALUE"""),"SeaCost")</f>
        <v>SeaCost</v>
      </c>
      <c r="F380" s="28"/>
      <c r="G380" s="28">
        <v>2473.0</v>
      </c>
      <c r="H380" s="28" t="s">
        <v>135</v>
      </c>
      <c r="J380" s="28" t="s">
        <v>135</v>
      </c>
    </row>
    <row r="381">
      <c r="A381" s="112">
        <f>IFERROR(__xludf.DUMMYFUNCTION("""COMPUTED_VALUE"""),46037.0)</f>
        <v>46037</v>
      </c>
      <c r="B381" s="113">
        <f>IFERROR(__xludf.DUMMYFUNCTION("""COMPUTED_VALUE"""),4513.0)</f>
        <v>4513</v>
      </c>
      <c r="C381" s="28" t="str">
        <f>IFERROR(__xludf.DUMMYFUNCTION("""COMPUTED_VALUE"""),"Money In")</f>
        <v>Money In</v>
      </c>
      <c r="D381" s="28" t="str">
        <f>IFERROR(__xludf.DUMMYFUNCTION("""COMPUTED_VALUE"""),"Revenue")</f>
        <v>Revenue</v>
      </c>
      <c r="E381" s="28" t="str">
        <f>IFERROR(__xludf.DUMMYFUNCTION("""COMPUTED_VALUE"""),"HTMall")</f>
        <v>HTMall</v>
      </c>
      <c r="F381" s="28"/>
      <c r="G381" s="28">
        <v>4513.0</v>
      </c>
      <c r="H381" s="28" t="s">
        <v>135</v>
      </c>
      <c r="J381" s="28" t="s">
        <v>135</v>
      </c>
    </row>
    <row r="382">
      <c r="A382" s="112">
        <f>IFERROR(__xludf.DUMMYFUNCTION("""COMPUTED_VALUE"""),46040.0)</f>
        <v>46040</v>
      </c>
      <c r="B382" s="113">
        <f>IFERROR(__xludf.DUMMYFUNCTION("""COMPUTED_VALUE"""),1966.0)</f>
        <v>1966</v>
      </c>
      <c r="C382" s="28" t="str">
        <f>IFERROR(__xludf.DUMMYFUNCTION("""COMPUTED_VALUE"""),"Money Out")</f>
        <v>Money Out</v>
      </c>
      <c r="D382" s="28" t="str">
        <f>IFERROR(__xludf.DUMMYFUNCTION("""COMPUTED_VALUE"""),"Product Restocking")</f>
        <v>Product Restocking</v>
      </c>
      <c r="E382" s="28"/>
      <c r="F382" s="28"/>
      <c r="G382" s="28">
        <v>-1966.0</v>
      </c>
      <c r="H382" s="28" t="s">
        <v>134</v>
      </c>
      <c r="J382" s="28" t="s">
        <v>134</v>
      </c>
    </row>
    <row r="383">
      <c r="A383" s="112">
        <f>IFERROR(__xludf.DUMMYFUNCTION("""COMPUTED_VALUE"""),46042.0)</f>
        <v>46042</v>
      </c>
      <c r="B383" s="113">
        <f>IFERROR(__xludf.DUMMYFUNCTION("""COMPUTED_VALUE"""),2383.0)</f>
        <v>2383</v>
      </c>
      <c r="C383" s="28" t="str">
        <f>IFERROR(__xludf.DUMMYFUNCTION("""COMPUTED_VALUE"""),"Money In")</f>
        <v>Money In</v>
      </c>
      <c r="D383" s="28" t="str">
        <f>IFERROR(__xludf.DUMMYFUNCTION("""COMPUTED_VALUE"""),"Revenue")</f>
        <v>Revenue</v>
      </c>
      <c r="E383" s="28" t="str">
        <f>IFERROR(__xludf.DUMMYFUNCTION("""COMPUTED_VALUE"""),"deplomacyMall")</f>
        <v>deplomacyMall</v>
      </c>
      <c r="F383" s="28"/>
      <c r="G383" s="28">
        <v>2383.0</v>
      </c>
      <c r="H383" s="28" t="s">
        <v>135</v>
      </c>
      <c r="J383" s="28" t="s">
        <v>135</v>
      </c>
    </row>
    <row r="384">
      <c r="A384" s="112">
        <f>IFERROR(__xludf.DUMMYFUNCTION("""COMPUTED_VALUE"""),46043.0)</f>
        <v>46043</v>
      </c>
      <c r="B384" s="113">
        <f>IFERROR(__xludf.DUMMYFUNCTION("""COMPUTED_VALUE"""),2426.0)</f>
        <v>2426</v>
      </c>
      <c r="C384" s="28" t="str">
        <f>IFERROR(__xludf.DUMMYFUNCTION("""COMPUTED_VALUE"""),"Money In")</f>
        <v>Money In</v>
      </c>
      <c r="D384" s="28" t="str">
        <f>IFERROR(__xludf.DUMMYFUNCTION("""COMPUTED_VALUE"""),"Revenue")</f>
        <v>Revenue</v>
      </c>
      <c r="E384" s="28" t="str">
        <f>IFERROR(__xludf.DUMMYFUNCTION("""COMPUTED_VALUE"""),"SeaCost")</f>
        <v>SeaCost</v>
      </c>
      <c r="F384" s="28"/>
      <c r="G384" s="28">
        <v>2426.0</v>
      </c>
      <c r="H384" s="28" t="s">
        <v>135</v>
      </c>
      <c r="J384" s="28" t="s">
        <v>135</v>
      </c>
    </row>
    <row r="385">
      <c r="A385" s="112">
        <f>IFERROR(__xludf.DUMMYFUNCTION("""COMPUTED_VALUE"""),46037.0)</f>
        <v>46037</v>
      </c>
      <c r="B385" s="113">
        <f>IFERROR(__xludf.DUMMYFUNCTION("""COMPUTED_VALUE"""),700.0)</f>
        <v>700</v>
      </c>
      <c r="C385" s="28" t="str">
        <f>IFERROR(__xludf.DUMMYFUNCTION("""COMPUTED_VALUE"""),"Money Out")</f>
        <v>Money Out</v>
      </c>
      <c r="D385" s="28"/>
      <c r="E385" s="28"/>
      <c r="F385" s="28" t="str">
        <f>IFERROR(__xludf.DUMMYFUNCTION("""COMPUTED_VALUE"""),"تكميل تصميم الراكون")</f>
        <v>تكميل تصميم الراكون</v>
      </c>
      <c r="G385" s="28">
        <v>-700.0</v>
      </c>
      <c r="H385" s="28" t="s">
        <v>146</v>
      </c>
      <c r="J385" s="28" t="s">
        <v>146</v>
      </c>
    </row>
    <row r="386">
      <c r="A386" s="112">
        <f>IFERROR(__xludf.DUMMYFUNCTION("""COMPUTED_VALUE"""),46044.0)</f>
        <v>46044</v>
      </c>
      <c r="B386" s="113">
        <f>IFERROR(__xludf.DUMMYFUNCTION("""COMPUTED_VALUE"""),300.0)</f>
        <v>300</v>
      </c>
      <c r="C386" s="28" t="str">
        <f>IFERROR(__xludf.DUMMYFUNCTION("""COMPUTED_VALUE"""),"Money Out")</f>
        <v>Money Out</v>
      </c>
      <c r="D386" s="28"/>
      <c r="E386" s="28"/>
      <c r="F386" s="28" t="str">
        <f>IFERROR(__xludf.DUMMYFUNCTION("""COMPUTED_VALUE"""),"تصميم الماكينه")</f>
        <v>تصميم الماكينه</v>
      </c>
      <c r="G386" s="28">
        <v>-300.0</v>
      </c>
      <c r="H386" s="28" t="s">
        <v>146</v>
      </c>
      <c r="J386" s="28" t="s">
        <v>146</v>
      </c>
    </row>
    <row r="387">
      <c r="A387" s="112">
        <f>IFERROR(__xludf.DUMMYFUNCTION("""COMPUTED_VALUE"""),46044.0)</f>
        <v>46044</v>
      </c>
      <c r="B387" s="113">
        <f>IFERROR(__xludf.DUMMYFUNCTION("""COMPUTED_VALUE"""),3397.0)</f>
        <v>3397</v>
      </c>
      <c r="C387" s="28" t="str">
        <f>IFERROR(__xludf.DUMMYFUNCTION("""COMPUTED_VALUE"""),"Money Out")</f>
        <v>Money Out</v>
      </c>
      <c r="D387" s="28" t="str">
        <f>IFERROR(__xludf.DUMMYFUNCTION("""COMPUTED_VALUE"""),"Product Restocking")</f>
        <v>Product Restocking</v>
      </c>
      <c r="E387" s="28"/>
      <c r="F387" s="28"/>
      <c r="G387" s="28">
        <v>-3397.0</v>
      </c>
      <c r="H387" s="28" t="s">
        <v>134</v>
      </c>
      <c r="J387" s="28" t="s">
        <v>134</v>
      </c>
    </row>
    <row r="388">
      <c r="A388" s="112">
        <f>IFERROR(__xludf.DUMMYFUNCTION("""COMPUTED_VALUE"""),46045.0)</f>
        <v>46045</v>
      </c>
      <c r="B388" s="113">
        <f>IFERROR(__xludf.DUMMYFUNCTION("""COMPUTED_VALUE"""),2000.0)</f>
        <v>2000</v>
      </c>
      <c r="C388" s="28" t="str">
        <f>IFERROR(__xludf.DUMMYFUNCTION("""COMPUTED_VALUE"""),"Money Out")</f>
        <v>Money Out</v>
      </c>
      <c r="D388" s="28" t="str">
        <f>IFERROR(__xludf.DUMMYFUNCTION("""COMPUTED_VALUE"""),"storage")</f>
        <v>storage</v>
      </c>
      <c r="E388" s="28"/>
      <c r="F388" s="28" t="str">
        <f>IFERROR(__xludf.DUMMYFUNCTION("""COMPUTED_VALUE"""),"اجار المخزن")</f>
        <v>اجار المخزن</v>
      </c>
      <c r="G388" s="28">
        <v>-2000.0</v>
      </c>
      <c r="H388" s="28" t="s">
        <v>137</v>
      </c>
      <c r="J388" s="28" t="s">
        <v>137</v>
      </c>
    </row>
    <row r="389">
      <c r="A389" s="112">
        <f>IFERROR(__xludf.DUMMYFUNCTION("""COMPUTED_VALUE"""),46045.0)</f>
        <v>46045</v>
      </c>
      <c r="B389" s="113">
        <f>IFERROR(__xludf.DUMMYFUNCTION("""COMPUTED_VALUE"""),3614.0)</f>
        <v>3614</v>
      </c>
      <c r="C389" s="28" t="str">
        <f>IFERROR(__xludf.DUMMYFUNCTION("""COMPUTED_VALUE"""),"Money In")</f>
        <v>Money In</v>
      </c>
      <c r="D389" s="28" t="str">
        <f>IFERROR(__xludf.DUMMYFUNCTION("""COMPUTED_VALUE"""),"Revenue")</f>
        <v>Revenue</v>
      </c>
      <c r="E389" s="28" t="str">
        <f>IFERROR(__xludf.DUMMYFUNCTION("""COMPUTED_VALUE"""),"AlmouasafatHospital")</f>
        <v>AlmouasafatHospital</v>
      </c>
      <c r="F389" s="28"/>
      <c r="G389" s="28">
        <v>3614.0</v>
      </c>
      <c r="H389" s="28" t="s">
        <v>135</v>
      </c>
      <c r="J389" s="28" t="s">
        <v>135</v>
      </c>
    </row>
    <row r="390">
      <c r="A390" s="112">
        <f>IFERROR(__xludf.DUMMYFUNCTION("""COMPUTED_VALUE"""),46047.0)</f>
        <v>46047</v>
      </c>
      <c r="B390" s="113">
        <f>IFERROR(__xludf.DUMMYFUNCTION("""COMPUTED_VALUE"""),320.0)</f>
        <v>320</v>
      </c>
      <c r="C390" s="28" t="str">
        <f>IFERROR(__xludf.DUMMYFUNCTION("""COMPUTED_VALUE"""),"Money Out")</f>
        <v>Money Out</v>
      </c>
      <c r="D390" s="28"/>
      <c r="E390" s="28"/>
      <c r="F390" s="28"/>
      <c r="G390" s="28">
        <v>-320.0</v>
      </c>
      <c r="H390" s="28" t="s">
        <v>146</v>
      </c>
      <c r="J390" s="28" t="s">
        <v>146</v>
      </c>
    </row>
    <row r="391">
      <c r="A391" s="112">
        <f>IFERROR(__xludf.DUMMYFUNCTION("""COMPUTED_VALUE"""),46047.0)</f>
        <v>46047</v>
      </c>
      <c r="B391" s="113">
        <f>IFERROR(__xludf.DUMMYFUNCTION("""COMPUTED_VALUE"""),140.0)</f>
        <v>140</v>
      </c>
      <c r="C391" s="28" t="str">
        <f>IFERROR(__xludf.DUMMYFUNCTION("""COMPUTED_VALUE"""),"Money Out")</f>
        <v>Money Out</v>
      </c>
      <c r="D391" s="28"/>
      <c r="E391" s="28"/>
      <c r="F391" s="28"/>
      <c r="G391" s="28">
        <v>-140.0</v>
      </c>
      <c r="H391" s="28" t="s">
        <v>146</v>
      </c>
      <c r="J391" s="28" t="s">
        <v>146</v>
      </c>
    </row>
    <row r="392">
      <c r="A392" s="112">
        <f>IFERROR(__xludf.DUMMYFUNCTION("""COMPUTED_VALUE"""),46049.0)</f>
        <v>46049</v>
      </c>
      <c r="B392" s="113">
        <f>IFERROR(__xludf.DUMMYFUNCTION("""COMPUTED_VALUE"""),2085.0)</f>
        <v>2085</v>
      </c>
      <c r="C392" s="28" t="str">
        <f>IFERROR(__xludf.DUMMYFUNCTION("""COMPUTED_VALUE"""),"Money Out")</f>
        <v>Money Out</v>
      </c>
      <c r="D392" s="28" t="str">
        <f>IFERROR(__xludf.DUMMYFUNCTION("""COMPUTED_VALUE"""),"Product Restocking")</f>
        <v>Product Restocking</v>
      </c>
      <c r="E392" s="28"/>
      <c r="F392" s="28"/>
      <c r="G392" s="28">
        <v>-2085.0</v>
      </c>
      <c r="H392" s="28" t="s">
        <v>134</v>
      </c>
      <c r="J392" s="28" t="s">
        <v>134</v>
      </c>
    </row>
    <row r="393">
      <c r="A393" s="112">
        <f>IFERROR(__xludf.DUMMYFUNCTION("""COMPUTED_VALUE"""),46047.0)</f>
        <v>46047</v>
      </c>
      <c r="B393" s="113">
        <f>IFERROR(__xludf.DUMMYFUNCTION("""COMPUTED_VALUE"""),3621.0)</f>
        <v>3621</v>
      </c>
      <c r="C393" s="28" t="str">
        <f>IFERROR(__xludf.DUMMYFUNCTION("""COMPUTED_VALUE"""),"Money In")</f>
        <v>Money In</v>
      </c>
      <c r="D393" s="28" t="str">
        <f>IFERROR(__xludf.DUMMYFUNCTION("""COMPUTED_VALUE"""),"Revenue")</f>
        <v>Revenue</v>
      </c>
      <c r="E393" s="28" t="str">
        <f>IFERROR(__xludf.DUMMYFUNCTION("""COMPUTED_VALUE"""),"HTMall")</f>
        <v>HTMall</v>
      </c>
      <c r="F393" s="28"/>
      <c r="G393" s="28">
        <v>3621.0</v>
      </c>
      <c r="H393" s="28" t="s">
        <v>135</v>
      </c>
      <c r="J393" s="28" t="s">
        <v>135</v>
      </c>
    </row>
    <row r="394">
      <c r="A394" s="112">
        <f>IFERROR(__xludf.DUMMYFUNCTION("""COMPUTED_VALUE"""),46053.0)</f>
        <v>46053</v>
      </c>
      <c r="B394" s="113">
        <f>IFERROR(__xludf.DUMMYFUNCTION("""COMPUTED_VALUE"""),3018.0)</f>
        <v>3018</v>
      </c>
      <c r="C394" s="28" t="str">
        <f>IFERROR(__xludf.DUMMYFUNCTION("""COMPUTED_VALUE"""),"Money In")</f>
        <v>Money In</v>
      </c>
      <c r="D394" s="28" t="str">
        <f>IFERROR(__xludf.DUMMYFUNCTION("""COMPUTED_VALUE"""),"Revenue")</f>
        <v>Revenue</v>
      </c>
      <c r="E394" s="28" t="str">
        <f>IFERROR(__xludf.DUMMYFUNCTION("""COMPUTED_VALUE"""),"Istiklal")</f>
        <v>Istiklal</v>
      </c>
      <c r="F394" s="28"/>
      <c r="G394" s="28">
        <v>3018.0</v>
      </c>
      <c r="H394" s="28" t="s">
        <v>135</v>
      </c>
      <c r="J394" s="28" t="s">
        <v>135</v>
      </c>
    </row>
    <row r="395">
      <c r="A395" s="112">
        <f>IFERROR(__xludf.DUMMYFUNCTION("""COMPUTED_VALUE"""),46053.0)</f>
        <v>46053</v>
      </c>
      <c r="B395" s="113">
        <f>IFERROR(__xludf.DUMMYFUNCTION("""COMPUTED_VALUE"""),1265.0)</f>
        <v>1265</v>
      </c>
      <c r="C395" s="28" t="str">
        <f>IFERROR(__xludf.DUMMYFUNCTION("""COMPUTED_VALUE"""),"Money In")</f>
        <v>Money In</v>
      </c>
      <c r="D395" s="28" t="str">
        <f>IFERROR(__xludf.DUMMYFUNCTION("""COMPUTED_VALUE"""),"Revenue")</f>
        <v>Revenue</v>
      </c>
      <c r="E395" s="28" t="str">
        <f>IFERROR(__xludf.DUMMYFUNCTION("""COMPUTED_VALUE"""),"SeaCost")</f>
        <v>SeaCost</v>
      </c>
      <c r="F395" s="28"/>
      <c r="G395" s="28">
        <v>1265.0</v>
      </c>
      <c r="H395" s="28" t="s">
        <v>135</v>
      </c>
      <c r="J395" s="28" t="s">
        <v>135</v>
      </c>
    </row>
    <row r="396">
      <c r="A396" s="112">
        <f>IFERROR(__xludf.DUMMYFUNCTION("""COMPUTED_VALUE"""),46053.0)</f>
        <v>46053</v>
      </c>
      <c r="B396" s="113">
        <f>IFERROR(__xludf.DUMMYFUNCTION("""COMPUTED_VALUE"""),2210.0)</f>
        <v>2210</v>
      </c>
      <c r="C396" s="28" t="str">
        <f>IFERROR(__xludf.DUMMYFUNCTION("""COMPUTED_VALUE"""),"Money In")</f>
        <v>Money In</v>
      </c>
      <c r="D396" s="28" t="str">
        <f>IFERROR(__xludf.DUMMYFUNCTION("""COMPUTED_VALUE"""),"Revenue")</f>
        <v>Revenue</v>
      </c>
      <c r="E396" s="28" t="str">
        <f>IFERROR(__xludf.DUMMYFUNCTION("""COMPUTED_VALUE"""),"HTMall")</f>
        <v>HTMall</v>
      </c>
      <c r="F396" s="28"/>
      <c r="G396" s="28">
        <v>2210.0</v>
      </c>
      <c r="H396" s="28" t="s">
        <v>135</v>
      </c>
      <c r="J396" s="28" t="s">
        <v>135</v>
      </c>
    </row>
    <row r="397">
      <c r="A397" s="112">
        <f>IFERROR(__xludf.DUMMYFUNCTION("""COMPUTED_VALUE"""),46053.0)</f>
        <v>46053</v>
      </c>
      <c r="B397" s="113">
        <f>IFERROR(__xludf.DUMMYFUNCTION("""COMPUTED_VALUE"""),3000.0)</f>
        <v>3000</v>
      </c>
      <c r="C397" s="28" t="str">
        <f>IFERROR(__xludf.DUMMYFUNCTION("""COMPUTED_VALUE"""),"Money Out")</f>
        <v>Money Out</v>
      </c>
      <c r="D397" s="28"/>
      <c r="E397" s="28"/>
      <c r="F397" s="28"/>
      <c r="G397" s="28">
        <v>-3000.0</v>
      </c>
      <c r="H397" s="28" t="s">
        <v>146</v>
      </c>
      <c r="J397" s="28" t="s">
        <v>146</v>
      </c>
    </row>
    <row r="398">
      <c r="A398" s="112">
        <f>IFERROR(__xludf.DUMMYFUNCTION("""COMPUTED_VALUE"""),46053.0)</f>
        <v>46053</v>
      </c>
      <c r="B398" s="113">
        <f>IFERROR(__xludf.DUMMYFUNCTION("""COMPUTED_VALUE"""),2921.0)</f>
        <v>2921</v>
      </c>
      <c r="C398" s="28" t="str">
        <f>IFERROR(__xludf.DUMMYFUNCTION("""COMPUTED_VALUE"""),"Money Out")</f>
        <v>Money Out</v>
      </c>
      <c r="D398" s="28"/>
      <c r="E398" s="28"/>
      <c r="F398" s="28"/>
      <c r="G398" s="28">
        <v>-2921.0</v>
      </c>
      <c r="H398" s="28" t="s">
        <v>146</v>
      </c>
      <c r="J398" s="28" t="s">
        <v>146</v>
      </c>
    </row>
    <row r="399">
      <c r="A399" s="112">
        <f>IFERROR(__xludf.DUMMYFUNCTION("""COMPUTED_VALUE"""),46053.0)</f>
        <v>46053</v>
      </c>
      <c r="B399" s="113">
        <f>IFERROR(__xludf.DUMMYFUNCTION("""COMPUTED_VALUE"""),511.0)</f>
        <v>511</v>
      </c>
      <c r="C399" s="28" t="str">
        <f>IFERROR(__xludf.DUMMYFUNCTION("""COMPUTED_VALUE"""),"Money In")</f>
        <v>Money In</v>
      </c>
      <c r="D399" s="28" t="str">
        <f>IFERROR(__xludf.DUMMYFUNCTION("""COMPUTED_VALUE"""),"Revenue")</f>
        <v>Revenue</v>
      </c>
      <c r="E399" s="28" t="str">
        <f>IFERROR(__xludf.DUMMYFUNCTION("""COMPUTED_VALUE"""),"deplomacyMall")</f>
        <v>deplomacyMall</v>
      </c>
      <c r="F399" s="28"/>
      <c r="G399" s="28">
        <v>511.0</v>
      </c>
      <c r="H399" s="28" t="s">
        <v>135</v>
      </c>
      <c r="J399" s="28" t="s">
        <v>135</v>
      </c>
    </row>
    <row r="400">
      <c r="A400" s="112">
        <f>IFERROR(__xludf.DUMMYFUNCTION("""COMPUTED_VALUE"""),46053.0)</f>
        <v>46053</v>
      </c>
      <c r="B400" s="113">
        <f>IFERROR(__xludf.DUMMYFUNCTION("""COMPUTED_VALUE"""),1378.0)</f>
        <v>1378</v>
      </c>
      <c r="C400" s="28" t="str">
        <f>IFERROR(__xludf.DUMMYFUNCTION("""COMPUTED_VALUE"""),"Money In")</f>
        <v>Money In</v>
      </c>
      <c r="D400" s="28" t="str">
        <f>IFERROR(__xludf.DUMMYFUNCTION("""COMPUTED_VALUE"""),"Revenue")</f>
        <v>Revenue</v>
      </c>
      <c r="E400" s="28" t="str">
        <f>IFERROR(__xludf.DUMMYFUNCTION("""COMPUTED_VALUE"""),"AlmouasafatHospital")</f>
        <v>AlmouasafatHospital</v>
      </c>
      <c r="F400" s="28"/>
      <c r="G400" s="28">
        <v>1378.0</v>
      </c>
      <c r="H400" s="28" t="s">
        <v>135</v>
      </c>
      <c r="J400" s="28" t="s">
        <v>135</v>
      </c>
    </row>
    <row r="401">
      <c r="A401" s="112">
        <f>IFERROR(__xludf.DUMMYFUNCTION("""COMPUTED_VALUE"""),46055.0)</f>
        <v>46055</v>
      </c>
      <c r="B401" s="113">
        <f>IFERROR(__xludf.DUMMYFUNCTION("""COMPUTED_VALUE"""),500.0)</f>
        <v>500</v>
      </c>
      <c r="C401" s="28" t="str">
        <f>IFERROR(__xludf.DUMMYFUNCTION("""COMPUTED_VALUE"""),"Money Out")</f>
        <v>Money Out</v>
      </c>
      <c r="D401" s="28"/>
      <c r="E401" s="28"/>
      <c r="F401" s="28" t="str">
        <f>IFERROR(__xludf.DUMMYFUNCTION("""COMPUTED_VALUE"""),"صمصار المخزن")</f>
        <v>صمصار المخزن</v>
      </c>
      <c r="G401" s="28">
        <v>-500.0</v>
      </c>
      <c r="H401" s="28" t="s">
        <v>146</v>
      </c>
      <c r="J401" s="28" t="s">
        <v>146</v>
      </c>
    </row>
    <row r="402">
      <c r="A402" s="112">
        <f>IFERROR(__xludf.DUMMYFUNCTION("""COMPUTED_VALUE"""),46055.0)</f>
        <v>46055</v>
      </c>
      <c r="B402" s="113">
        <f>IFERROR(__xludf.DUMMYFUNCTION("""COMPUTED_VALUE"""),500.0)</f>
        <v>500</v>
      </c>
      <c r="C402" s="28" t="str">
        <f>IFERROR(__xludf.DUMMYFUNCTION("""COMPUTED_VALUE"""),"Money Out")</f>
        <v>Money Out</v>
      </c>
      <c r="D402" s="28" t="str">
        <f>IFERROR(__xludf.DUMMYFUNCTION("""COMPUTED_VALUE"""),"Rent")</f>
        <v>Rent</v>
      </c>
      <c r="E402" s="28"/>
      <c r="F402" s="28" t="str">
        <f>IFERROR(__xludf.DUMMYFUNCTION("""COMPUTED_VALUE"""),"ايجار seacoast")</f>
        <v>ايجار seacoast</v>
      </c>
      <c r="G402" s="28">
        <v>-500.0</v>
      </c>
      <c r="H402" s="28" t="s">
        <v>137</v>
      </c>
      <c r="J402" s="28" t="s">
        <v>137</v>
      </c>
    </row>
    <row r="403">
      <c r="A403" s="112">
        <f>IFERROR(__xludf.DUMMYFUNCTION("""COMPUTED_VALUE"""),46056.0)</f>
        <v>46056</v>
      </c>
      <c r="B403" s="113">
        <f>IFERROR(__xludf.DUMMYFUNCTION("""COMPUTED_VALUE"""),3197.0)</f>
        <v>3197</v>
      </c>
      <c r="C403" s="28" t="str">
        <f>IFERROR(__xludf.DUMMYFUNCTION("""COMPUTED_VALUE"""),"Money Out")</f>
        <v>Money Out</v>
      </c>
      <c r="D403" s="28" t="str">
        <f>IFERROR(__xludf.DUMMYFUNCTION("""COMPUTED_VALUE"""),"Product Restocking")</f>
        <v>Product Restocking</v>
      </c>
      <c r="E403" s="28"/>
      <c r="F403" s="28"/>
      <c r="G403" s="28">
        <v>-3197.0</v>
      </c>
      <c r="H403" s="28" t="s">
        <v>134</v>
      </c>
      <c r="J403" s="28" t="s">
        <v>134</v>
      </c>
    </row>
    <row r="404">
      <c r="A404" s="112">
        <f>IFERROR(__xludf.DUMMYFUNCTION("""COMPUTED_VALUE"""),46056.0)</f>
        <v>46056</v>
      </c>
      <c r="B404" s="113">
        <f>IFERROR(__xludf.DUMMYFUNCTION("""COMPUTED_VALUE"""),6000.0)</f>
        <v>6000</v>
      </c>
      <c r="C404" s="28" t="str">
        <f>IFERROR(__xludf.DUMMYFUNCTION("""COMPUTED_VALUE"""),"Money In")</f>
        <v>Money In</v>
      </c>
      <c r="D404" s="28" t="str">
        <f>IFERROR(__xludf.DUMMYFUNCTION("""COMPUTED_VALUE"""),"ads")</f>
        <v>ads</v>
      </c>
      <c r="E404" s="28"/>
      <c r="F404" s="28" t="str">
        <f>IFERROR(__xludf.DUMMYFUNCTION("""COMPUTED_VALUE"""),"دعاية توربو شهر 3,4,5")</f>
        <v>دعاية توربو شهر 3,4,5</v>
      </c>
      <c r="G404" s="28">
        <v>6000.0</v>
      </c>
      <c r="H404" s="28" t="s">
        <v>135</v>
      </c>
      <c r="J404" s="28" t="s">
        <v>135</v>
      </c>
    </row>
    <row r="405">
      <c r="A405" s="112">
        <f>IFERROR(__xludf.DUMMYFUNCTION("""COMPUTED_VALUE"""),46056.0)</f>
        <v>46056</v>
      </c>
      <c r="B405" s="113">
        <f>IFERROR(__xludf.DUMMYFUNCTION("""COMPUTED_VALUE"""),1500.0)</f>
        <v>1500</v>
      </c>
      <c r="C405" s="28" t="str">
        <f>IFERROR(__xludf.DUMMYFUNCTION("""COMPUTED_VALUE"""),"Money Out")</f>
        <v>Money Out</v>
      </c>
      <c r="D405" s="28" t="str">
        <f>IFERROR(__xludf.DUMMYFUNCTION("""COMPUTED_VALUE"""),"Ahmed")</f>
        <v>Ahmed</v>
      </c>
      <c r="E405" s="28"/>
      <c r="F405" s="28" t="str">
        <f>IFERROR(__xludf.DUMMYFUNCTION("""COMPUTED_VALUE"""),"مرتب شهر طناش وواحد")</f>
        <v>مرتب شهر طناش وواحد</v>
      </c>
      <c r="G405" s="28">
        <v>-1500.0</v>
      </c>
      <c r="H405" s="28" t="s">
        <v>136</v>
      </c>
      <c r="J405" s="28" t="s">
        <v>136</v>
      </c>
    </row>
    <row r="406">
      <c r="A406" s="112">
        <f>IFERROR(__xludf.DUMMYFUNCTION("""COMPUTED_VALUE"""),46058.0)</f>
        <v>46058</v>
      </c>
      <c r="B406" s="113">
        <f>IFERROR(__xludf.DUMMYFUNCTION("""COMPUTED_VALUE"""),950.0)</f>
        <v>950</v>
      </c>
      <c r="C406" s="28" t="str">
        <f>IFERROR(__xludf.DUMMYFUNCTION("""COMPUTED_VALUE"""),"Money Out")</f>
        <v>Money Out</v>
      </c>
      <c r="D406" s="28" t="str">
        <f>IFERROR(__xludf.DUMMYFUNCTION("""COMPUTED_VALUE"""),"Anas")</f>
        <v>Anas</v>
      </c>
      <c r="E406" s="28"/>
      <c r="F406" s="28"/>
      <c r="G406" s="28">
        <v>-950.0</v>
      </c>
      <c r="H406" s="28" t="s">
        <v>139</v>
      </c>
      <c r="J406" s="28" t="s">
        <v>139</v>
      </c>
    </row>
    <row r="407">
      <c r="A407" s="112">
        <f>IFERROR(__xludf.DUMMYFUNCTION("""COMPUTED_VALUE"""),46060.0)</f>
        <v>46060</v>
      </c>
      <c r="B407" s="113">
        <f>IFERROR(__xludf.DUMMYFUNCTION("""COMPUTED_VALUE"""),557.0)</f>
        <v>557</v>
      </c>
      <c r="C407" s="28" t="str">
        <f>IFERROR(__xludf.DUMMYFUNCTION("""COMPUTED_VALUE"""),"Money In")</f>
        <v>Money In</v>
      </c>
      <c r="D407" s="28" t="str">
        <f>IFERROR(__xludf.DUMMYFUNCTION("""COMPUTED_VALUE"""),"Revenue")</f>
        <v>Revenue</v>
      </c>
      <c r="E407" s="28" t="str">
        <f>IFERROR(__xludf.DUMMYFUNCTION("""COMPUTED_VALUE"""),"AlmouasafatHospital")</f>
        <v>AlmouasafatHospital</v>
      </c>
      <c r="F407" s="28"/>
      <c r="G407" s="28">
        <v>557.0</v>
      </c>
      <c r="H407" s="28" t="s">
        <v>135</v>
      </c>
      <c r="J407" s="28" t="s">
        <v>135</v>
      </c>
    </row>
    <row r="408">
      <c r="A408" s="112">
        <f>IFERROR(__xludf.DUMMYFUNCTION("""COMPUTED_VALUE"""),46060.0)</f>
        <v>46060</v>
      </c>
      <c r="B408" s="113">
        <f>IFERROR(__xludf.DUMMYFUNCTION("""COMPUTED_VALUE"""),1824.0)</f>
        <v>1824</v>
      </c>
      <c r="C408" s="28" t="str">
        <f>IFERROR(__xludf.DUMMYFUNCTION("""COMPUTED_VALUE"""),"Money In")</f>
        <v>Money In</v>
      </c>
      <c r="D408" s="28" t="str">
        <f>IFERROR(__xludf.DUMMYFUNCTION("""COMPUTED_VALUE"""),"Revenue")</f>
        <v>Revenue</v>
      </c>
      <c r="E408" s="28" t="str">
        <f>IFERROR(__xludf.DUMMYFUNCTION("""COMPUTED_VALUE"""),"AlTahaddy")</f>
        <v>AlTahaddy</v>
      </c>
      <c r="F408" s="28"/>
      <c r="G408" s="28">
        <v>1824.0</v>
      </c>
      <c r="H408" s="28" t="s">
        <v>135</v>
      </c>
      <c r="J408" s="28" t="s">
        <v>135</v>
      </c>
    </row>
    <row r="409">
      <c r="A409" s="112">
        <f>IFERROR(__xludf.DUMMYFUNCTION("""COMPUTED_VALUE"""),46060.0)</f>
        <v>46060</v>
      </c>
      <c r="B409" s="113">
        <f>IFERROR(__xludf.DUMMYFUNCTION("""COMPUTED_VALUE"""),2487.0)</f>
        <v>2487</v>
      </c>
      <c r="C409" s="28" t="str">
        <f>IFERROR(__xludf.DUMMYFUNCTION("""COMPUTED_VALUE"""),"Money In")</f>
        <v>Money In</v>
      </c>
      <c r="D409" s="28" t="str">
        <f>IFERROR(__xludf.DUMMYFUNCTION("""COMPUTED_VALUE"""),"Revenue")</f>
        <v>Revenue</v>
      </c>
      <c r="E409" s="28" t="str">
        <f>IFERROR(__xludf.DUMMYFUNCTION("""COMPUTED_VALUE"""),"HTMall")</f>
        <v>HTMall</v>
      </c>
      <c r="F409" s="28"/>
      <c r="G409" s="28">
        <v>2487.0</v>
      </c>
      <c r="H409" s="28" t="s">
        <v>135</v>
      </c>
      <c r="J409" s="28" t="s">
        <v>135</v>
      </c>
    </row>
    <row r="410">
      <c r="A410" s="112">
        <f>IFERROR(__xludf.DUMMYFUNCTION("""COMPUTED_VALUE"""),46060.0)</f>
        <v>46060</v>
      </c>
      <c r="B410" s="113">
        <f>IFERROR(__xludf.DUMMYFUNCTION("""COMPUTED_VALUE"""),771.0)</f>
        <v>771</v>
      </c>
      <c r="C410" s="28" t="str">
        <f>IFERROR(__xludf.DUMMYFUNCTION("""COMPUTED_VALUE"""),"Money Out")</f>
        <v>Money Out</v>
      </c>
      <c r="D410" s="28" t="str">
        <f>IFERROR(__xludf.DUMMYFUNCTION("""COMPUTED_VALUE"""),"Product Restocking")</f>
        <v>Product Restocking</v>
      </c>
      <c r="E410" s="28"/>
      <c r="F410" s="28"/>
      <c r="G410" s="28">
        <v>-771.0</v>
      </c>
      <c r="H410" s="28" t="s">
        <v>134</v>
      </c>
      <c r="J410" s="28" t="s">
        <v>134</v>
      </c>
    </row>
    <row r="411">
      <c r="A411" s="112">
        <f>IFERROR(__xludf.DUMMYFUNCTION("""COMPUTED_VALUE"""),46061.0)</f>
        <v>46061</v>
      </c>
      <c r="B411" s="113">
        <f>IFERROR(__xludf.DUMMYFUNCTION("""COMPUTED_VALUE"""),1727.0)</f>
        <v>1727</v>
      </c>
      <c r="C411" s="28" t="str">
        <f>IFERROR(__xludf.DUMMYFUNCTION("""COMPUTED_VALUE"""),"Money In")</f>
        <v>Money In</v>
      </c>
      <c r="D411" s="28" t="str">
        <f>IFERROR(__xludf.DUMMYFUNCTION("""COMPUTED_VALUE"""),"Revenue")</f>
        <v>Revenue</v>
      </c>
      <c r="E411" s="28" t="str">
        <f>IFERROR(__xludf.DUMMYFUNCTION("""COMPUTED_VALUE"""),"SeaCost")</f>
        <v>SeaCost</v>
      </c>
      <c r="F411" s="28"/>
      <c r="G411" s="28">
        <v>1727.0</v>
      </c>
      <c r="H411" s="28" t="s">
        <v>135</v>
      </c>
      <c r="J411" s="28" t="s">
        <v>135</v>
      </c>
    </row>
    <row r="412">
      <c r="A412" s="112">
        <f>IFERROR(__xludf.DUMMYFUNCTION("""COMPUTED_VALUE"""),46061.0)</f>
        <v>46061</v>
      </c>
      <c r="B412" s="113">
        <f>IFERROR(__xludf.DUMMYFUNCTION("""COMPUTED_VALUE"""),167.0)</f>
        <v>167</v>
      </c>
      <c r="C412" s="28" t="str">
        <f>IFERROR(__xludf.DUMMYFUNCTION("""COMPUTED_VALUE"""),"Money Out")</f>
        <v>Money Out</v>
      </c>
      <c r="D412" s="28" t="str">
        <f>IFERROR(__xludf.DUMMYFUNCTION("""COMPUTED_VALUE"""),"Product Restocking")</f>
        <v>Product Restocking</v>
      </c>
      <c r="E412" s="28"/>
      <c r="F412" s="28"/>
      <c r="G412" s="28">
        <v>-167.0</v>
      </c>
      <c r="H412" s="28" t="s">
        <v>134</v>
      </c>
      <c r="J412" s="28" t="s">
        <v>134</v>
      </c>
    </row>
    <row r="413">
      <c r="A413" s="112">
        <f>IFERROR(__xludf.DUMMYFUNCTION("""COMPUTED_VALUE"""),46062.0)</f>
        <v>46062</v>
      </c>
      <c r="B413" s="113">
        <f>IFERROR(__xludf.DUMMYFUNCTION("""COMPUTED_VALUE"""),340.0)</f>
        <v>340</v>
      </c>
      <c r="C413" s="28" t="str">
        <f>IFERROR(__xludf.DUMMYFUNCTION("""COMPUTED_VALUE"""),"Money Out")</f>
        <v>Money Out</v>
      </c>
      <c r="D413" s="28" t="str">
        <f>IFERROR(__xludf.DUMMYFUNCTION("""COMPUTED_VALUE"""),"Product Restocking")</f>
        <v>Product Restocking</v>
      </c>
      <c r="E413" s="28"/>
      <c r="F413" s="28"/>
      <c r="G413" s="28">
        <v>-340.0</v>
      </c>
      <c r="H413" s="28" t="s">
        <v>134</v>
      </c>
      <c r="J413" s="28" t="s">
        <v>134</v>
      </c>
    </row>
    <row r="414">
      <c r="A414" s="112">
        <f>IFERROR(__xludf.DUMMYFUNCTION("""COMPUTED_VALUE"""),46064.0)</f>
        <v>46064</v>
      </c>
      <c r="B414" s="113">
        <f>IFERROR(__xludf.DUMMYFUNCTION("""COMPUTED_VALUE"""),1251.0)</f>
        <v>1251</v>
      </c>
      <c r="C414" s="28" t="str">
        <f>IFERROR(__xludf.DUMMYFUNCTION("""COMPUTED_VALUE"""),"Money In")</f>
        <v>Money In</v>
      </c>
      <c r="D414" s="28" t="str">
        <f>IFERROR(__xludf.DUMMYFUNCTION("""COMPUTED_VALUE"""),"Revenue")</f>
        <v>Revenue</v>
      </c>
      <c r="E414" s="28" t="str">
        <f>IFERROR(__xludf.DUMMYFUNCTION("""COMPUTED_VALUE"""),"AlmouasafatHospital")</f>
        <v>AlmouasafatHospital</v>
      </c>
      <c r="F414" s="28"/>
      <c r="G414" s="28">
        <v>1251.0</v>
      </c>
      <c r="H414" s="28" t="s">
        <v>135</v>
      </c>
      <c r="J414" s="28" t="s">
        <v>135</v>
      </c>
    </row>
    <row r="415">
      <c r="A415" s="112">
        <f>IFERROR(__xludf.DUMMYFUNCTION("""COMPUTED_VALUE"""),46064.0)</f>
        <v>46064</v>
      </c>
      <c r="B415" s="113">
        <f>IFERROR(__xludf.DUMMYFUNCTION("""COMPUTED_VALUE"""),1196.0)</f>
        <v>1196</v>
      </c>
      <c r="C415" s="28" t="str">
        <f>IFERROR(__xludf.DUMMYFUNCTION("""COMPUTED_VALUE"""),"Money In")</f>
        <v>Money In</v>
      </c>
      <c r="D415" s="28" t="str">
        <f>IFERROR(__xludf.DUMMYFUNCTION("""COMPUTED_VALUE"""),"Revenue")</f>
        <v>Revenue</v>
      </c>
      <c r="E415" s="28" t="str">
        <f>IFERROR(__xludf.DUMMYFUNCTION("""COMPUTED_VALUE"""),"SeaCost")</f>
        <v>SeaCost</v>
      </c>
      <c r="F415" s="28"/>
      <c r="G415" s="28">
        <v>1196.0</v>
      </c>
      <c r="H415" s="28" t="s">
        <v>135</v>
      </c>
      <c r="J415" s="28" t="s">
        <v>135</v>
      </c>
    </row>
    <row r="416">
      <c r="A416" s="112">
        <f>IFERROR(__xludf.DUMMYFUNCTION("""COMPUTED_VALUE"""),46064.0)</f>
        <v>46064</v>
      </c>
      <c r="B416" s="113">
        <f>IFERROR(__xludf.DUMMYFUNCTION("""COMPUTED_VALUE"""),700.0)</f>
        <v>700</v>
      </c>
      <c r="C416" s="28" t="str">
        <f>IFERROR(__xludf.DUMMYFUNCTION("""COMPUTED_VALUE"""),"Money In")</f>
        <v>Money In</v>
      </c>
      <c r="D416" s="28" t="str">
        <f>IFERROR(__xludf.DUMMYFUNCTION("""COMPUTED_VALUE"""),"Revenue")</f>
        <v>Revenue</v>
      </c>
      <c r="E416" s="28" t="str">
        <f>IFERROR(__xludf.DUMMYFUNCTION("""COMPUTED_VALUE"""),"HTMall")</f>
        <v>HTMall</v>
      </c>
      <c r="F416" s="28"/>
      <c r="G416" s="28">
        <v>700.0</v>
      </c>
      <c r="H416" s="28" t="s">
        <v>135</v>
      </c>
      <c r="J416" s="28" t="s">
        <v>135</v>
      </c>
    </row>
    <row r="417">
      <c r="A417" s="112">
        <f>IFERROR(__xludf.DUMMYFUNCTION("""COMPUTED_VALUE"""),46065.0)</f>
        <v>46065</v>
      </c>
      <c r="B417" s="113">
        <f>IFERROR(__xludf.DUMMYFUNCTION("""COMPUTED_VALUE"""),1050.0)</f>
        <v>1050</v>
      </c>
      <c r="C417" s="28" t="str">
        <f>IFERROR(__xludf.DUMMYFUNCTION("""COMPUTED_VALUE"""),"Money Out")</f>
        <v>Money Out</v>
      </c>
      <c r="D417" s="28" t="str">
        <f>IFERROR(__xludf.DUMMYFUNCTION("""COMPUTED_VALUE"""),"Product Restocking")</f>
        <v>Product Restocking</v>
      </c>
      <c r="E417" s="28"/>
      <c r="F417" s="28"/>
      <c r="G417" s="28">
        <v>-1050.0</v>
      </c>
      <c r="H417" s="28" t="s">
        <v>134</v>
      </c>
      <c r="J417" s="28" t="s">
        <v>134</v>
      </c>
    </row>
    <row r="418">
      <c r="A418" s="112">
        <f>IFERROR(__xludf.DUMMYFUNCTION("""COMPUTED_VALUE"""),46066.0)</f>
        <v>46066</v>
      </c>
      <c r="B418" s="113">
        <f>IFERROR(__xludf.DUMMYFUNCTION("""COMPUTED_VALUE"""),2217.0)</f>
        <v>2217</v>
      </c>
      <c r="C418" s="28" t="str">
        <f>IFERROR(__xludf.DUMMYFUNCTION("""COMPUTED_VALUE"""),"Money Out")</f>
        <v>Money Out</v>
      </c>
      <c r="D418" s="28" t="str">
        <f>IFERROR(__xludf.DUMMYFUNCTION("""COMPUTED_VALUE"""),"Product Restocking")</f>
        <v>Product Restocking</v>
      </c>
      <c r="E418" s="28"/>
      <c r="F418" s="28"/>
      <c r="G418" s="28">
        <v>-2217.0</v>
      </c>
      <c r="H418" s="28" t="s">
        <v>134</v>
      </c>
      <c r="J418" s="28" t="s">
        <v>134</v>
      </c>
    </row>
    <row r="419">
      <c r="A419" s="112">
        <f>IFERROR(__xludf.DUMMYFUNCTION("""COMPUTED_VALUE"""),46067.0)</f>
        <v>46067</v>
      </c>
      <c r="B419" s="113">
        <f>IFERROR(__xludf.DUMMYFUNCTION("""COMPUTED_VALUE"""),1753.0)</f>
        <v>1753</v>
      </c>
      <c r="C419" s="28" t="str">
        <f>IFERROR(__xludf.DUMMYFUNCTION("""COMPUTED_VALUE"""),"Money In")</f>
        <v>Money In</v>
      </c>
      <c r="D419" s="28" t="str">
        <f>IFERROR(__xludf.DUMMYFUNCTION("""COMPUTED_VALUE"""),"Revenue")</f>
        <v>Revenue</v>
      </c>
      <c r="E419" s="28" t="str">
        <f>IFERROR(__xludf.DUMMYFUNCTION("""COMPUTED_VALUE"""),"AlTahaddy")</f>
        <v>AlTahaddy</v>
      </c>
      <c r="F419" s="28"/>
      <c r="G419" s="28">
        <v>1753.0</v>
      </c>
      <c r="H419" s="28" t="s">
        <v>135</v>
      </c>
      <c r="J419" s="28" t="s">
        <v>135</v>
      </c>
    </row>
    <row r="420">
      <c r="A420" s="112">
        <f>IFERROR(__xludf.DUMMYFUNCTION("""COMPUTED_VALUE"""),46067.0)</f>
        <v>46067</v>
      </c>
      <c r="B420" s="113">
        <f>IFERROR(__xludf.DUMMYFUNCTION("""COMPUTED_VALUE"""),1146.0)</f>
        <v>1146</v>
      </c>
      <c r="C420" s="28" t="str">
        <f>IFERROR(__xludf.DUMMYFUNCTION("""COMPUTED_VALUE"""),"Money Out")</f>
        <v>Money Out</v>
      </c>
      <c r="D420" s="28" t="str">
        <f>IFERROR(__xludf.DUMMYFUNCTION("""COMPUTED_VALUE"""),"Product Restocking")</f>
        <v>Product Restocking</v>
      </c>
      <c r="E420" s="28"/>
      <c r="F420" s="28"/>
      <c r="G420" s="28">
        <v>-1146.0</v>
      </c>
      <c r="H420" s="28" t="s">
        <v>134</v>
      </c>
      <c r="J420" s="28" t="s">
        <v>134</v>
      </c>
    </row>
    <row r="421">
      <c r="A421" s="112">
        <f>IFERROR(__xludf.DUMMYFUNCTION("""COMPUTED_VALUE"""),46068.0)</f>
        <v>46068</v>
      </c>
      <c r="B421" s="113">
        <f>IFERROR(__xludf.DUMMYFUNCTION("""COMPUTED_VALUE"""),1661.0)</f>
        <v>1661</v>
      </c>
      <c r="C421" s="28" t="str">
        <f>IFERROR(__xludf.DUMMYFUNCTION("""COMPUTED_VALUE"""),"Money Out")</f>
        <v>Money Out</v>
      </c>
      <c r="D421" s="28" t="str">
        <f>IFERROR(__xludf.DUMMYFUNCTION("""COMPUTED_VALUE"""),"Product Restocking")</f>
        <v>Product Restocking</v>
      </c>
      <c r="E421" s="28"/>
      <c r="F421" s="28"/>
      <c r="G421" s="28">
        <v>-1661.0</v>
      </c>
      <c r="H421" s="28" t="s">
        <v>134</v>
      </c>
      <c r="J421" s="28" t="s">
        <v>134</v>
      </c>
    </row>
    <row r="422">
      <c r="A422" s="112">
        <f>IFERROR(__xludf.DUMMYFUNCTION("""COMPUTED_VALUE"""),46068.0)</f>
        <v>46068</v>
      </c>
      <c r="B422" s="113">
        <f>IFERROR(__xludf.DUMMYFUNCTION("""COMPUTED_VALUE"""),979.0)</f>
        <v>979</v>
      </c>
      <c r="C422" s="28" t="str">
        <f>IFERROR(__xludf.DUMMYFUNCTION("""COMPUTED_VALUE"""),"Money In")</f>
        <v>Money In</v>
      </c>
      <c r="D422" s="28" t="str">
        <f>IFERROR(__xludf.DUMMYFUNCTION("""COMPUTED_VALUE"""),"Revenue")</f>
        <v>Revenue</v>
      </c>
      <c r="E422" s="28" t="str">
        <f>IFERROR(__xludf.DUMMYFUNCTION("""COMPUTED_VALUE"""),"SeaCost")</f>
        <v>SeaCost</v>
      </c>
      <c r="F422" s="28"/>
      <c r="G422" s="28">
        <v>979.0</v>
      </c>
      <c r="H422" s="28" t="s">
        <v>135</v>
      </c>
      <c r="J422" s="28" t="s">
        <v>135</v>
      </c>
    </row>
    <row r="423">
      <c r="A423" s="112">
        <f>IFERROR(__xludf.DUMMYFUNCTION("""COMPUTED_VALUE"""),46068.0)</f>
        <v>46068</v>
      </c>
      <c r="B423" s="113">
        <f>IFERROR(__xludf.DUMMYFUNCTION("""COMPUTED_VALUE"""),1667.0)</f>
        <v>1667</v>
      </c>
      <c r="C423" s="28" t="str">
        <f>IFERROR(__xludf.DUMMYFUNCTION("""COMPUTED_VALUE"""),"Money In")</f>
        <v>Money In</v>
      </c>
      <c r="D423" s="28" t="str">
        <f>IFERROR(__xludf.DUMMYFUNCTION("""COMPUTED_VALUE"""),"Revenue")</f>
        <v>Revenue</v>
      </c>
      <c r="E423" s="28" t="str">
        <f>IFERROR(__xludf.DUMMYFUNCTION("""COMPUTED_VALUE"""),"HTLand")</f>
        <v>HTLand</v>
      </c>
      <c r="F423" s="28"/>
      <c r="G423" s="28">
        <v>1667.0</v>
      </c>
      <c r="H423" s="28" t="s">
        <v>135</v>
      </c>
      <c r="J423" s="28" t="s">
        <v>135</v>
      </c>
    </row>
    <row r="424">
      <c r="A424" s="112">
        <f>IFERROR(__xludf.DUMMYFUNCTION("""COMPUTED_VALUE"""),46068.0)</f>
        <v>46068</v>
      </c>
      <c r="B424" s="113">
        <f>IFERROR(__xludf.DUMMYFUNCTION("""COMPUTED_VALUE"""),1300.0)</f>
        <v>1300</v>
      </c>
      <c r="C424" s="28" t="str">
        <f>IFERROR(__xludf.DUMMYFUNCTION("""COMPUTED_VALUE"""),"Money In")</f>
        <v>Money In</v>
      </c>
      <c r="D424" s="28" t="str">
        <f>IFERROR(__xludf.DUMMYFUNCTION("""COMPUTED_VALUE"""),"Revenue")</f>
        <v>Revenue</v>
      </c>
      <c r="E424" s="28" t="str">
        <f>IFERROR(__xludf.DUMMYFUNCTION("""COMPUTED_VALUE"""),"HTMall")</f>
        <v>HTMall</v>
      </c>
      <c r="F424" s="28"/>
      <c r="G424" s="28">
        <v>1300.0</v>
      </c>
      <c r="H424" s="28" t="s">
        <v>135</v>
      </c>
      <c r="J424" s="28" t="s">
        <v>135</v>
      </c>
    </row>
    <row r="425">
      <c r="A425" s="112">
        <f>IFERROR(__xludf.DUMMYFUNCTION("""COMPUTED_VALUE"""),46069.0)</f>
        <v>46069</v>
      </c>
      <c r="B425" s="113">
        <f>IFERROR(__xludf.DUMMYFUNCTION("""COMPUTED_VALUE"""),1501.0)</f>
        <v>1501</v>
      </c>
      <c r="C425" s="28" t="str">
        <f>IFERROR(__xludf.DUMMYFUNCTION("""COMPUTED_VALUE"""),"Money Out")</f>
        <v>Money Out</v>
      </c>
      <c r="D425" s="28" t="str">
        <f>IFERROR(__xludf.DUMMYFUNCTION("""COMPUTED_VALUE"""),"Product Restocking")</f>
        <v>Product Restocking</v>
      </c>
      <c r="E425" s="28"/>
      <c r="F425" s="28"/>
      <c r="G425" s="28">
        <v>-1501.0</v>
      </c>
      <c r="H425" s="28" t="s">
        <v>134</v>
      </c>
      <c r="J425" s="28" t="s">
        <v>134</v>
      </c>
    </row>
    <row r="426">
      <c r="A426" s="112">
        <f>IFERROR(__xludf.DUMMYFUNCTION("""COMPUTED_VALUE"""),46070.0)</f>
        <v>46070</v>
      </c>
      <c r="B426" s="113">
        <f>IFERROR(__xludf.DUMMYFUNCTION("""COMPUTED_VALUE"""),1882.0)</f>
        <v>1882</v>
      </c>
      <c r="C426" s="28" t="str">
        <f>IFERROR(__xludf.DUMMYFUNCTION("""COMPUTED_VALUE"""),"Money In")</f>
        <v>Money In</v>
      </c>
      <c r="D426" s="28" t="str">
        <f>IFERROR(__xludf.DUMMYFUNCTION("""COMPUTED_VALUE"""),"Revenue")</f>
        <v>Revenue</v>
      </c>
      <c r="E426" s="28" t="str">
        <f>IFERROR(__xludf.DUMMYFUNCTION("""COMPUTED_VALUE"""),"deplomacyMall")</f>
        <v>deplomacyMall</v>
      </c>
      <c r="F426" s="28"/>
      <c r="G426" s="28">
        <v>1882.0</v>
      </c>
      <c r="H426" s="28" t="s">
        <v>135</v>
      </c>
      <c r="J426" s="28" t="s">
        <v>135</v>
      </c>
    </row>
    <row r="427">
      <c r="A427" s="112">
        <f>IFERROR(__xludf.DUMMYFUNCTION("""COMPUTED_VALUE"""),46070.0)</f>
        <v>46070</v>
      </c>
      <c r="B427" s="113">
        <f>IFERROR(__xludf.DUMMYFUNCTION("""COMPUTED_VALUE"""),2385.0)</f>
        <v>2385</v>
      </c>
      <c r="C427" s="28" t="str">
        <f>IFERROR(__xludf.DUMMYFUNCTION("""COMPUTED_VALUE"""),"Money In")</f>
        <v>Money In</v>
      </c>
      <c r="D427" s="28" t="str">
        <f>IFERROR(__xludf.DUMMYFUNCTION("""COMPUTED_VALUE"""),"Revenue")</f>
        <v>Revenue</v>
      </c>
      <c r="E427" s="28" t="str">
        <f>IFERROR(__xludf.DUMMYFUNCTION("""COMPUTED_VALUE"""),"Istiklal")</f>
        <v>Istiklal</v>
      </c>
      <c r="F427" s="28"/>
      <c r="G427" s="28">
        <v>2385.0</v>
      </c>
      <c r="H427" s="28" t="s">
        <v>135</v>
      </c>
      <c r="J427" s="28" t="s">
        <v>135</v>
      </c>
    </row>
    <row r="428">
      <c r="A428" s="112">
        <f>IFERROR(__xludf.DUMMYFUNCTION("""COMPUTED_VALUE"""),46071.0)</f>
        <v>46071</v>
      </c>
      <c r="B428" s="113">
        <f>IFERROR(__xludf.DUMMYFUNCTION("""COMPUTED_VALUE"""),987.0)</f>
        <v>987</v>
      </c>
      <c r="C428" s="28" t="str">
        <f>IFERROR(__xludf.DUMMYFUNCTION("""COMPUTED_VALUE"""),"Money Out")</f>
        <v>Money Out</v>
      </c>
      <c r="D428" s="28" t="str">
        <f>IFERROR(__xludf.DUMMYFUNCTION("""COMPUTED_VALUE"""),"Product Restocking")</f>
        <v>Product Restocking</v>
      </c>
      <c r="E428" s="28"/>
      <c r="F428" s="28"/>
      <c r="G428" s="28">
        <v>-987.0</v>
      </c>
      <c r="H428" s="28" t="s">
        <v>134</v>
      </c>
      <c r="J428" s="28" t="s">
        <v>134</v>
      </c>
    </row>
    <row r="429">
      <c r="A429" s="112">
        <f>IFERROR(__xludf.DUMMYFUNCTION("""COMPUTED_VALUE"""),46071.0)</f>
        <v>46071</v>
      </c>
      <c r="B429" s="113">
        <f>IFERROR(__xludf.DUMMYFUNCTION("""COMPUTED_VALUE"""),690.0)</f>
        <v>690</v>
      </c>
      <c r="C429" s="28" t="str">
        <f>IFERROR(__xludf.DUMMYFUNCTION("""COMPUTED_VALUE"""),"Money Out")</f>
        <v>Money Out</v>
      </c>
      <c r="D429" s="28"/>
      <c r="E429" s="28"/>
      <c r="F429" s="28" t="str">
        <f>IFERROR(__xludf.DUMMYFUNCTION("""COMPUTED_VALUE"""),"تركيب وتصميم ملصق التحدي")</f>
        <v>تركيب وتصميم ملصق التحدي</v>
      </c>
      <c r="G429" s="28">
        <v>-690.0</v>
      </c>
      <c r="H429" s="28" t="s">
        <v>146</v>
      </c>
      <c r="J429" s="28" t="s">
        <v>146</v>
      </c>
    </row>
    <row r="430">
      <c r="A430" s="112">
        <f>IFERROR(__xludf.DUMMYFUNCTION("""COMPUTED_VALUE"""),46065.0)</f>
        <v>46065</v>
      </c>
      <c r="B430" s="113">
        <f>IFERROR(__xludf.DUMMYFUNCTION("""COMPUTED_VALUE"""),700.0)</f>
        <v>700</v>
      </c>
      <c r="C430" s="28" t="str">
        <f>IFERROR(__xludf.DUMMYFUNCTION("""COMPUTED_VALUE"""),"Money Out")</f>
        <v>Money Out</v>
      </c>
      <c r="D430" s="28"/>
      <c r="E430" s="28"/>
      <c r="F430" s="28" t="str">
        <f>IFERROR(__xludf.DUMMYFUNCTION("""COMPUTED_VALUE"""),"نقل عدد اثنان ماكينه")</f>
        <v>نقل عدد اثنان ماكينه</v>
      </c>
      <c r="G430" s="28">
        <v>-700.0</v>
      </c>
      <c r="H430" s="28" t="s">
        <v>146</v>
      </c>
      <c r="J430" s="28" t="s">
        <v>146</v>
      </c>
    </row>
    <row r="431">
      <c r="A431" s="112">
        <f>IFERROR(__xludf.DUMMYFUNCTION("""COMPUTED_VALUE"""),46066.0)</f>
        <v>46066</v>
      </c>
      <c r="B431" s="113">
        <f>IFERROR(__xludf.DUMMYFUNCTION("""COMPUTED_VALUE"""),130.0)</f>
        <v>130</v>
      </c>
      <c r="C431" s="28" t="str">
        <f>IFERROR(__xludf.DUMMYFUNCTION("""COMPUTED_VALUE"""),"Money Out")</f>
        <v>Money Out</v>
      </c>
      <c r="D431" s="28"/>
      <c r="E431" s="28"/>
      <c r="F431" s="28" t="str">
        <f>IFERROR(__xludf.DUMMYFUNCTION("""COMPUTED_VALUE"""),"ايجار وعمال")</f>
        <v>ايجار وعمال</v>
      </c>
      <c r="G431" s="28">
        <v>-130.0</v>
      </c>
      <c r="H431" s="28" t="s">
        <v>146</v>
      </c>
      <c r="J431" s="28" t="s">
        <v>146</v>
      </c>
    </row>
    <row r="432">
      <c r="A432" s="112">
        <f>IFERROR(__xludf.DUMMYFUNCTION("""COMPUTED_VALUE"""),46068.0)</f>
        <v>46068</v>
      </c>
      <c r="B432" s="113">
        <f>IFERROR(__xludf.DUMMYFUNCTION("""COMPUTED_VALUE"""),3000.0)</f>
        <v>3000</v>
      </c>
      <c r="C432" s="28" t="str">
        <f>IFERROR(__xludf.DUMMYFUNCTION("""COMPUTED_VALUE"""),"Money Out")</f>
        <v>Money Out</v>
      </c>
      <c r="D432" s="28" t="str">
        <f>IFERROR(__xludf.DUMMYFUNCTION("""COMPUTED_VALUE"""),"Rent")</f>
        <v>Rent</v>
      </c>
      <c r="E432" s="28" t="str">
        <f>IFERROR(__xludf.DUMMYFUNCTION("""COMPUTED_VALUE"""),"deplomacyMall")</f>
        <v>deplomacyMall</v>
      </c>
      <c r="F432" s="28" t="str">
        <f>IFERROR(__xludf.DUMMYFUNCTION("""COMPUTED_VALUE"""),"ايجارسته شهور دبلوماسي من شهر 9 - الى شهر 2")</f>
        <v>ايجارسته شهور دبلوماسي من شهر 9 - الى شهر 2</v>
      </c>
      <c r="G432" s="28">
        <v>-3000.0</v>
      </c>
      <c r="H432" s="28" t="s">
        <v>137</v>
      </c>
      <c r="J432" s="28" t="s">
        <v>137</v>
      </c>
    </row>
    <row r="433">
      <c r="A433" s="112">
        <f>IFERROR(__xludf.DUMMYFUNCTION("""COMPUTED_VALUE"""),46069.0)</f>
        <v>46069</v>
      </c>
      <c r="B433" s="113">
        <f>IFERROR(__xludf.DUMMYFUNCTION("""COMPUTED_VALUE"""),2800.0)</f>
        <v>2800</v>
      </c>
      <c r="C433" s="28" t="str">
        <f>IFERROR(__xludf.DUMMYFUNCTION("""COMPUTED_VALUE"""),"Money Out")</f>
        <v>Money Out</v>
      </c>
      <c r="D433" s="28" t="str">
        <f>IFERROR(__xludf.DUMMYFUNCTION("""COMPUTED_VALUE"""),"Rent")</f>
        <v>Rent</v>
      </c>
      <c r="E433" s="28" t="str">
        <f>IFERROR(__xludf.DUMMYFUNCTION("""COMPUTED_VALUE"""),"HTMall")</f>
        <v>HTMall</v>
      </c>
      <c r="F433" s="28" t="str">
        <f>IFERROR(__xludf.DUMMYFUNCTION("""COMPUTED_VALUE"""),"ايجار اتش تي ")</f>
        <v>ايجار اتش تي </v>
      </c>
      <c r="G433" s="28">
        <v>-2800.0</v>
      </c>
      <c r="H433" s="28" t="s">
        <v>137</v>
      </c>
      <c r="J433" s="28" t="s">
        <v>137</v>
      </c>
    </row>
    <row r="434">
      <c r="A434" s="112">
        <f>IFERROR(__xludf.DUMMYFUNCTION("""COMPUTED_VALUE"""),46070.0)</f>
        <v>46070</v>
      </c>
      <c r="B434" s="113">
        <f>IFERROR(__xludf.DUMMYFUNCTION("""COMPUTED_VALUE"""),260.0)</f>
        <v>260</v>
      </c>
      <c r="C434" s="28" t="str">
        <f>IFERROR(__xludf.DUMMYFUNCTION("""COMPUTED_VALUE"""),"Money Out")</f>
        <v>Money Out</v>
      </c>
      <c r="D434" s="28"/>
      <c r="E434" s="28"/>
      <c r="F434" s="28"/>
      <c r="G434" s="28">
        <v>-260.0</v>
      </c>
      <c r="H434" s="28" t="s">
        <v>146</v>
      </c>
      <c r="J434" s="28" t="s">
        <v>146</v>
      </c>
    </row>
    <row r="435">
      <c r="A435" s="112">
        <f>IFERROR(__xludf.DUMMYFUNCTION("""COMPUTED_VALUE"""),46073.0)</f>
        <v>46073</v>
      </c>
      <c r="B435" s="113">
        <f>IFERROR(__xludf.DUMMYFUNCTION("""COMPUTED_VALUE"""),7500.0)</f>
        <v>7500</v>
      </c>
      <c r="C435" s="28" t="str">
        <f>IFERROR(__xludf.DUMMYFUNCTION("""COMPUTED_VALUE"""),"Money Out")</f>
        <v>Money Out</v>
      </c>
      <c r="D435" s="28"/>
      <c r="E435" s="28"/>
      <c r="F435" s="28" t="str">
        <f>IFERROR(__xludf.DUMMYFUNCTION("""COMPUTED_VALUE"""),"تعديل ميزانيه")</f>
        <v>تعديل ميزانيه</v>
      </c>
      <c r="G435" s="28">
        <v>-7500.0</v>
      </c>
      <c r="H435" s="28" t="s">
        <v>146</v>
      </c>
      <c r="J435" s="28" t="s">
        <v>146</v>
      </c>
    </row>
    <row r="436">
      <c r="A436" s="112">
        <f>IFERROR(__xludf.DUMMYFUNCTION("""COMPUTED_VALUE"""),46073.0)</f>
        <v>46073</v>
      </c>
      <c r="B436" s="113">
        <f>IFERROR(__xludf.DUMMYFUNCTION("""COMPUTED_VALUE"""),500.0)</f>
        <v>500</v>
      </c>
      <c r="C436" s="28" t="str">
        <f>IFERROR(__xludf.DUMMYFUNCTION("""COMPUTED_VALUE"""),"Money Out")</f>
        <v>Money Out</v>
      </c>
      <c r="D436" s="28" t="str">
        <f>IFERROR(__xludf.DUMMYFUNCTION("""COMPUTED_VALUE"""),"Anas")</f>
        <v>Anas</v>
      </c>
      <c r="E436" s="28"/>
      <c r="F436" s="28"/>
      <c r="G436" s="28">
        <v>-500.0</v>
      </c>
      <c r="H436" s="28" t="s">
        <v>139</v>
      </c>
      <c r="J436" s="28" t="s">
        <v>139</v>
      </c>
    </row>
    <row r="437">
      <c r="A437" s="112">
        <f>IFERROR(__xludf.DUMMYFUNCTION("""COMPUTED_VALUE"""),46074.0)</f>
        <v>46074</v>
      </c>
      <c r="B437" s="113">
        <f>IFERROR(__xludf.DUMMYFUNCTION("""COMPUTED_VALUE"""),1487.0)</f>
        <v>1487</v>
      </c>
      <c r="C437" s="28" t="str">
        <f>IFERROR(__xludf.DUMMYFUNCTION("""COMPUTED_VALUE"""),"Money Out")</f>
        <v>Money Out</v>
      </c>
      <c r="D437" s="28" t="str">
        <f>IFERROR(__xludf.DUMMYFUNCTION("""COMPUTED_VALUE"""),"Product Restocking")</f>
        <v>Product Restocking</v>
      </c>
      <c r="E437" s="28"/>
      <c r="F437" s="28"/>
      <c r="G437" s="28">
        <v>-1487.0</v>
      </c>
      <c r="H437" s="28" t="s">
        <v>134</v>
      </c>
      <c r="J437" s="28" t="s">
        <v>134</v>
      </c>
    </row>
    <row r="438">
      <c r="A438" s="112">
        <f>IFERROR(__xludf.DUMMYFUNCTION("""COMPUTED_VALUE"""),46081.0)</f>
        <v>46081</v>
      </c>
      <c r="B438" s="113">
        <f>IFERROR(__xludf.DUMMYFUNCTION("""COMPUTED_VALUE"""),2308.0)</f>
        <v>2308</v>
      </c>
      <c r="C438" s="28" t="str">
        <f>IFERROR(__xludf.DUMMYFUNCTION("""COMPUTED_VALUE"""),"Money Out")</f>
        <v>Money Out</v>
      </c>
      <c r="D438" s="28" t="str">
        <f>IFERROR(__xludf.DUMMYFUNCTION("""COMPUTED_VALUE"""),"Product Restocking")</f>
        <v>Product Restocking</v>
      </c>
      <c r="E438" s="28"/>
      <c r="F438" s="28"/>
      <c r="G438" s="28">
        <v>-2308.0</v>
      </c>
      <c r="H438" s="28" t="s">
        <v>134</v>
      </c>
      <c r="J438" s="28" t="s">
        <v>134</v>
      </c>
    </row>
    <row r="439">
      <c r="A439" s="112">
        <f>IFERROR(__xludf.DUMMYFUNCTION("""COMPUTED_VALUE"""),46081.0)</f>
        <v>46081</v>
      </c>
      <c r="B439" s="113">
        <f>IFERROR(__xludf.DUMMYFUNCTION("""COMPUTED_VALUE"""),549.0)</f>
        <v>549</v>
      </c>
      <c r="C439" s="28" t="str">
        <f>IFERROR(__xludf.DUMMYFUNCTION("""COMPUTED_VALUE"""),"Money In")</f>
        <v>Money In</v>
      </c>
      <c r="D439" s="28" t="str">
        <f>IFERROR(__xludf.DUMMYFUNCTION("""COMPUTED_VALUE"""),"Revenue")</f>
        <v>Revenue</v>
      </c>
      <c r="E439" s="28" t="str">
        <f>IFERROR(__xludf.DUMMYFUNCTION("""COMPUTED_VALUE"""),"SeaCost")</f>
        <v>SeaCost</v>
      </c>
      <c r="F439" s="28"/>
      <c r="G439" s="28">
        <v>549.0</v>
      </c>
      <c r="H439" s="28" t="s">
        <v>135</v>
      </c>
      <c r="J439" s="28" t="s">
        <v>135</v>
      </c>
    </row>
    <row r="440">
      <c r="A440" s="112">
        <f>IFERROR(__xludf.DUMMYFUNCTION("""COMPUTED_VALUE"""),46081.0)</f>
        <v>46081</v>
      </c>
      <c r="B440" s="113">
        <f>IFERROR(__xludf.DUMMYFUNCTION("""COMPUTED_VALUE"""),2380.0)</f>
        <v>2380</v>
      </c>
      <c r="C440" s="28" t="str">
        <f>IFERROR(__xludf.DUMMYFUNCTION("""COMPUTED_VALUE"""),"Money In")</f>
        <v>Money In</v>
      </c>
      <c r="D440" s="28" t="str">
        <f>IFERROR(__xludf.DUMMYFUNCTION("""COMPUTED_VALUE"""),"Revenue")</f>
        <v>Revenue</v>
      </c>
      <c r="E440" s="28" t="str">
        <f>IFERROR(__xludf.DUMMYFUNCTION("""COMPUTED_VALUE"""),"SeaCost2")</f>
        <v>SeaCost2</v>
      </c>
      <c r="F440" s="28"/>
      <c r="G440" s="28">
        <v>2380.0</v>
      </c>
      <c r="H440" s="28" t="s">
        <v>135</v>
      </c>
      <c r="J440" s="28" t="s">
        <v>135</v>
      </c>
    </row>
    <row r="441">
      <c r="A441" s="112">
        <f>IFERROR(__xludf.DUMMYFUNCTION("""COMPUTED_VALUE"""),46081.0)</f>
        <v>46081</v>
      </c>
      <c r="B441" s="113">
        <f>IFERROR(__xludf.DUMMYFUNCTION("""COMPUTED_VALUE"""),2433.0)</f>
        <v>2433</v>
      </c>
      <c r="C441" s="28" t="str">
        <f>IFERROR(__xludf.DUMMYFUNCTION("""COMPUTED_VALUE"""),"Money In")</f>
        <v>Money In</v>
      </c>
      <c r="D441" s="28" t="str">
        <f>IFERROR(__xludf.DUMMYFUNCTION("""COMPUTED_VALUE"""),"Revenue")</f>
        <v>Revenue</v>
      </c>
      <c r="E441" s="28" t="str">
        <f>IFERROR(__xludf.DUMMYFUNCTION("""COMPUTED_VALUE"""),"AlmouasafatHospital")</f>
        <v>AlmouasafatHospital</v>
      </c>
      <c r="F441" s="28"/>
      <c r="G441" s="28">
        <v>2433.0</v>
      </c>
      <c r="H441" s="28" t="s">
        <v>135</v>
      </c>
      <c r="J441" s="28" t="s">
        <v>135</v>
      </c>
    </row>
    <row r="442">
      <c r="A442" s="112">
        <f>IFERROR(__xludf.DUMMYFUNCTION("""COMPUTED_VALUE"""),46081.0)</f>
        <v>46081</v>
      </c>
      <c r="B442" s="113">
        <f>IFERROR(__xludf.DUMMYFUNCTION("""COMPUTED_VALUE"""),1129.0)</f>
        <v>1129</v>
      </c>
      <c r="C442" s="28" t="str">
        <f>IFERROR(__xludf.DUMMYFUNCTION("""COMPUTED_VALUE"""),"Money In")</f>
        <v>Money In</v>
      </c>
      <c r="D442" s="28" t="str">
        <f>IFERROR(__xludf.DUMMYFUNCTION("""COMPUTED_VALUE"""),"Revenue")</f>
        <v>Revenue</v>
      </c>
      <c r="E442" s="28" t="str">
        <f>IFERROR(__xludf.DUMMYFUNCTION("""COMPUTED_VALUE"""),"Istiklal")</f>
        <v>Istiklal</v>
      </c>
      <c r="F442" s="28"/>
      <c r="G442" s="28">
        <v>1129.0</v>
      </c>
      <c r="H442" s="28" t="s">
        <v>135</v>
      </c>
      <c r="J442" s="28" t="s">
        <v>135</v>
      </c>
    </row>
    <row r="443">
      <c r="A443" s="112">
        <f>IFERROR(__xludf.DUMMYFUNCTION("""COMPUTED_VALUE"""),46081.0)</f>
        <v>46081</v>
      </c>
      <c r="B443" s="113">
        <f>IFERROR(__xludf.DUMMYFUNCTION("""COMPUTED_VALUE"""),505.0)</f>
        <v>505</v>
      </c>
      <c r="C443" s="28" t="str">
        <f>IFERROR(__xludf.DUMMYFUNCTION("""COMPUTED_VALUE"""),"Money In")</f>
        <v>Money In</v>
      </c>
      <c r="D443" s="28" t="str">
        <f>IFERROR(__xludf.DUMMYFUNCTION("""COMPUTED_VALUE"""),"Revenue")</f>
        <v>Revenue</v>
      </c>
      <c r="E443" s="28" t="str">
        <f>IFERROR(__xludf.DUMMYFUNCTION("""COMPUTED_VALUE"""),"deplomacyMall")</f>
        <v>deplomacyMall</v>
      </c>
      <c r="F443" s="28"/>
      <c r="G443" s="28">
        <v>505.0</v>
      </c>
      <c r="H443" s="28" t="s">
        <v>135</v>
      </c>
      <c r="J443" s="28" t="s">
        <v>135</v>
      </c>
    </row>
    <row r="444">
      <c r="A444" s="112">
        <f>IFERROR(__xludf.DUMMYFUNCTION("""COMPUTED_VALUE"""),46081.0)</f>
        <v>46081</v>
      </c>
      <c r="B444" s="113">
        <f>IFERROR(__xludf.DUMMYFUNCTION("""COMPUTED_VALUE"""),2486.0)</f>
        <v>2486</v>
      </c>
      <c r="C444" s="28" t="str">
        <f>IFERROR(__xludf.DUMMYFUNCTION("""COMPUTED_VALUE"""),"Money In")</f>
        <v>Money In</v>
      </c>
      <c r="D444" s="28" t="str">
        <f>IFERROR(__xludf.DUMMYFUNCTION("""COMPUTED_VALUE"""),"Revenue")</f>
        <v>Revenue</v>
      </c>
      <c r="E444" s="28" t="str">
        <f>IFERROR(__xludf.DUMMYFUNCTION("""COMPUTED_VALUE"""),"HTLand")</f>
        <v>HTLand</v>
      </c>
      <c r="F444" s="28"/>
      <c r="G444" s="28">
        <v>2486.0</v>
      </c>
      <c r="H444" s="28" t="s">
        <v>135</v>
      </c>
      <c r="J444" s="28" t="s">
        <v>135</v>
      </c>
    </row>
    <row r="445">
      <c r="A445" s="112">
        <f>IFERROR(__xludf.DUMMYFUNCTION("""COMPUTED_VALUE"""),46081.0)</f>
        <v>46081</v>
      </c>
      <c r="B445" s="113">
        <f>IFERROR(__xludf.DUMMYFUNCTION("""COMPUTED_VALUE"""),2987.0)</f>
        <v>2987</v>
      </c>
      <c r="C445" s="28" t="str">
        <f>IFERROR(__xludf.DUMMYFUNCTION("""COMPUTED_VALUE"""),"Money In")</f>
        <v>Money In</v>
      </c>
      <c r="D445" s="28" t="str">
        <f>IFERROR(__xludf.DUMMYFUNCTION("""COMPUTED_VALUE"""),"Revenue")</f>
        <v>Revenue</v>
      </c>
      <c r="E445" s="28" t="str">
        <f>IFERROR(__xludf.DUMMYFUNCTION("""COMPUTED_VALUE"""),"HTMall")</f>
        <v>HTMall</v>
      </c>
      <c r="F445" s="28"/>
      <c r="G445" s="28">
        <v>2987.0</v>
      </c>
      <c r="H445" s="28" t="s">
        <v>135</v>
      </c>
      <c r="J445" s="28" t="s">
        <v>135</v>
      </c>
    </row>
    <row r="446">
      <c r="A446" s="112">
        <f>IFERROR(__xludf.DUMMYFUNCTION("""COMPUTED_VALUE"""),46081.0)</f>
        <v>46081</v>
      </c>
      <c r="B446" s="113">
        <f>IFERROR(__xludf.DUMMYFUNCTION("""COMPUTED_VALUE"""),328.75)</f>
        <v>328.75</v>
      </c>
      <c r="C446" s="28" t="str">
        <f>IFERROR(__xludf.DUMMYFUNCTION("""COMPUTED_VALUE"""),"Money Out")</f>
        <v>Money Out</v>
      </c>
      <c r="D446" s="28" t="str">
        <f>IFERROR(__xludf.DUMMYFUNCTION("""COMPUTED_VALUE"""),"Anas")</f>
        <v>Anas</v>
      </c>
      <c r="E446" s="28"/>
      <c r="F446" s="28"/>
      <c r="G446" s="28">
        <v>-328.75</v>
      </c>
      <c r="H446" s="28" t="s">
        <v>139</v>
      </c>
      <c r="J446" s="28" t="s">
        <v>139</v>
      </c>
    </row>
    <row r="447">
      <c r="A447" s="112">
        <f>IFERROR(__xludf.DUMMYFUNCTION("""COMPUTED_VALUE"""),46082.0)</f>
        <v>46082</v>
      </c>
      <c r="B447" s="113">
        <f>IFERROR(__xludf.DUMMYFUNCTION("""COMPUTED_VALUE"""),1600.0)</f>
        <v>1600</v>
      </c>
      <c r="C447" s="28" t="str">
        <f>IFERROR(__xludf.DUMMYFUNCTION("""COMPUTED_VALUE"""),"Money Out")</f>
        <v>Money Out</v>
      </c>
      <c r="D447" s="28" t="str">
        <f>IFERROR(__xludf.DUMMYFUNCTION("""COMPUTED_VALUE"""),"Ahmed")</f>
        <v>Ahmed</v>
      </c>
      <c r="E447" s="28"/>
      <c r="F447" s="28"/>
      <c r="G447" s="28">
        <v>-1600.0</v>
      </c>
      <c r="H447" s="28" t="s">
        <v>136</v>
      </c>
      <c r="J447" s="28" t="s">
        <v>136</v>
      </c>
    </row>
    <row r="448">
      <c r="A448" s="112">
        <f>IFERROR(__xludf.DUMMYFUNCTION("""COMPUTED_VALUE"""),46084.0)</f>
        <v>46084</v>
      </c>
      <c r="B448" s="113">
        <f>IFERROR(__xludf.DUMMYFUNCTION("""COMPUTED_VALUE"""),1058.0)</f>
        <v>1058</v>
      </c>
      <c r="C448" s="28" t="str">
        <f>IFERROR(__xludf.DUMMYFUNCTION("""COMPUTED_VALUE"""),"Money Out")</f>
        <v>Money Out</v>
      </c>
      <c r="D448" s="28" t="str">
        <f>IFERROR(__xludf.DUMMYFUNCTION("""COMPUTED_VALUE"""),"Product Restocking")</f>
        <v>Product Restocking</v>
      </c>
      <c r="E448" s="28"/>
      <c r="F448" s="28"/>
      <c r="G448" s="28">
        <v>-1058.0</v>
      </c>
      <c r="H448" s="28" t="s">
        <v>134</v>
      </c>
      <c r="J448" s="28" t="s">
        <v>134</v>
      </c>
    </row>
    <row r="449">
      <c r="A449" s="112">
        <f>IFERROR(__xludf.DUMMYFUNCTION("""COMPUTED_VALUE"""),46088.0)</f>
        <v>46088</v>
      </c>
      <c r="B449" s="113">
        <f>IFERROR(__xludf.DUMMYFUNCTION("""COMPUTED_VALUE"""),2006.0)</f>
        <v>2006</v>
      </c>
      <c r="C449" s="28" t="str">
        <f>IFERROR(__xludf.DUMMYFUNCTION("""COMPUTED_VALUE"""),"Money Out")</f>
        <v>Money Out</v>
      </c>
      <c r="D449" s="28" t="str">
        <f>IFERROR(__xludf.DUMMYFUNCTION("""COMPUTED_VALUE"""),"Product Restocking")</f>
        <v>Product Restocking</v>
      </c>
      <c r="E449" s="28"/>
      <c r="F449" s="28"/>
      <c r="G449" s="28">
        <v>-2006.0</v>
      </c>
      <c r="H449" s="28" t="s">
        <v>134</v>
      </c>
      <c r="J449" s="28" t="s">
        <v>134</v>
      </c>
    </row>
    <row r="450">
      <c r="A450" s="112">
        <f>IFERROR(__xludf.DUMMYFUNCTION("""COMPUTED_VALUE"""),46091.0)</f>
        <v>46091</v>
      </c>
      <c r="B450" s="113">
        <f>IFERROR(__xludf.DUMMYFUNCTION("""COMPUTED_VALUE"""),2844.0)</f>
        <v>2844</v>
      </c>
      <c r="C450" s="28" t="str">
        <f>IFERROR(__xludf.DUMMYFUNCTION("""COMPUTED_VALUE"""),"Money Out")</f>
        <v>Money Out</v>
      </c>
      <c r="D450" s="28" t="str">
        <f>IFERROR(__xludf.DUMMYFUNCTION("""COMPUTED_VALUE"""),"Product Restocking")</f>
        <v>Product Restocking</v>
      </c>
      <c r="E450" s="28"/>
      <c r="F450" s="28"/>
      <c r="G450" s="28">
        <v>-2844.0</v>
      </c>
      <c r="H450" s="28" t="s">
        <v>134</v>
      </c>
      <c r="J450" s="28" t="s">
        <v>134</v>
      </c>
    </row>
    <row r="451">
      <c r="A451" s="112">
        <f>IFERROR(__xludf.DUMMYFUNCTION("""COMPUTED_VALUE"""),46094.0)</f>
        <v>46094</v>
      </c>
      <c r="B451" s="113">
        <f>IFERROR(__xludf.DUMMYFUNCTION("""COMPUTED_VALUE"""),561.0)</f>
        <v>561</v>
      </c>
      <c r="C451" s="28" t="str">
        <f>IFERROR(__xludf.DUMMYFUNCTION("""COMPUTED_VALUE"""),"Money Out")</f>
        <v>Money Out</v>
      </c>
      <c r="D451" s="28" t="str">
        <f>IFERROR(__xludf.DUMMYFUNCTION("""COMPUTED_VALUE"""),"Anas")</f>
        <v>Anas</v>
      </c>
      <c r="E451" s="28"/>
      <c r="F451" s="28"/>
      <c r="G451" s="28">
        <v>-561.0</v>
      </c>
      <c r="H451" s="28" t="s">
        <v>139</v>
      </c>
      <c r="J451" s="28" t="s">
        <v>139</v>
      </c>
    </row>
    <row r="452">
      <c r="A452" s="112">
        <f>IFERROR(__xludf.DUMMYFUNCTION("""COMPUTED_VALUE"""),46096.0)</f>
        <v>46096</v>
      </c>
      <c r="B452" s="113">
        <f>IFERROR(__xludf.DUMMYFUNCTION("""COMPUTED_VALUE"""),3184.0)</f>
        <v>3184</v>
      </c>
      <c r="C452" s="28" t="str">
        <f>IFERROR(__xludf.DUMMYFUNCTION("""COMPUTED_VALUE"""),"Money Out")</f>
        <v>Money Out</v>
      </c>
      <c r="D452" s="28" t="str">
        <f>IFERROR(__xludf.DUMMYFUNCTION("""COMPUTED_VALUE"""),"Product Restocking")</f>
        <v>Product Restocking</v>
      </c>
      <c r="E452" s="28"/>
      <c r="F452" s="28"/>
      <c r="G452" s="28">
        <v>-3184.0</v>
      </c>
      <c r="H452" s="28" t="s">
        <v>134</v>
      </c>
      <c r="J452" s="28" t="s">
        <v>134</v>
      </c>
    </row>
    <row r="453">
      <c r="A453" s="112">
        <f>IFERROR(__xludf.DUMMYFUNCTION("""COMPUTED_VALUE"""),46098.0)</f>
        <v>46098</v>
      </c>
      <c r="B453" s="113">
        <f>IFERROR(__xludf.DUMMYFUNCTION("""COMPUTED_VALUE"""),3093.0)</f>
        <v>3093</v>
      </c>
      <c r="C453" s="28" t="str">
        <f>IFERROR(__xludf.DUMMYFUNCTION("""COMPUTED_VALUE"""),"Money In")</f>
        <v>Money In</v>
      </c>
      <c r="D453" s="28" t="str">
        <f>IFERROR(__xludf.DUMMYFUNCTION("""COMPUTED_VALUE"""),"Revenue")</f>
        <v>Revenue</v>
      </c>
      <c r="E453" s="28" t="str">
        <f>IFERROR(__xludf.DUMMYFUNCTION("""COMPUTED_VALUE"""),"deplomacyMall")</f>
        <v>deplomacyMall</v>
      </c>
      <c r="F453" s="28"/>
      <c r="G453" s="28">
        <v>3093.0</v>
      </c>
      <c r="H453" s="28" t="s">
        <v>135</v>
      </c>
      <c r="J453" s="28" t="s">
        <v>135</v>
      </c>
    </row>
    <row r="454">
      <c r="A454" s="112">
        <f>IFERROR(__xludf.DUMMYFUNCTION("""COMPUTED_VALUE"""),46098.0)</f>
        <v>46098</v>
      </c>
      <c r="B454" s="113">
        <f>IFERROR(__xludf.DUMMYFUNCTION("""COMPUTED_VALUE"""),841.0)</f>
        <v>841</v>
      </c>
      <c r="C454" s="28" t="str">
        <f>IFERROR(__xludf.DUMMYFUNCTION("""COMPUTED_VALUE"""),"Money In")</f>
        <v>Money In</v>
      </c>
      <c r="D454" s="28" t="str">
        <f>IFERROR(__xludf.DUMMYFUNCTION("""COMPUTED_VALUE"""),"Revenue")</f>
        <v>Revenue</v>
      </c>
      <c r="E454" s="28" t="str">
        <f>IFERROR(__xludf.DUMMYFUNCTION("""COMPUTED_VALUE"""),"SeaCost2")</f>
        <v>SeaCost2</v>
      </c>
      <c r="F454" s="28"/>
      <c r="G454" s="28">
        <v>841.0</v>
      </c>
      <c r="H454" s="28" t="s">
        <v>135</v>
      </c>
      <c r="J454" s="28" t="s">
        <v>135</v>
      </c>
    </row>
    <row r="455">
      <c r="A455" s="112">
        <f>IFERROR(__xludf.DUMMYFUNCTION("""COMPUTED_VALUE"""),46100.0)</f>
        <v>46100</v>
      </c>
      <c r="B455" s="113">
        <f>IFERROR(__xludf.DUMMYFUNCTION("""COMPUTED_VALUE"""),2076.0)</f>
        <v>2076</v>
      </c>
      <c r="C455" s="28" t="str">
        <f>IFERROR(__xludf.DUMMYFUNCTION("""COMPUTED_VALUE"""),"Money Out")</f>
        <v>Money Out</v>
      </c>
      <c r="D455" s="28" t="str">
        <f>IFERROR(__xludf.DUMMYFUNCTION("""COMPUTED_VALUE"""),"Product Restocking")</f>
        <v>Product Restocking</v>
      </c>
      <c r="E455" s="28"/>
      <c r="F455" s="28"/>
      <c r="G455" s="28">
        <v>-2076.0</v>
      </c>
      <c r="H455" s="28" t="s">
        <v>134</v>
      </c>
      <c r="J455" s="28" t="s">
        <v>134</v>
      </c>
    </row>
    <row r="456">
      <c r="A456" s="112">
        <f>IFERROR(__xludf.DUMMYFUNCTION("""COMPUTED_VALUE"""),46103.0)</f>
        <v>46103</v>
      </c>
      <c r="B456" s="113">
        <f>IFERROR(__xludf.DUMMYFUNCTION("""COMPUTED_VALUE"""),1215.0)</f>
        <v>1215</v>
      </c>
      <c r="C456" s="28" t="str">
        <f>IFERROR(__xludf.DUMMYFUNCTION("""COMPUTED_VALUE"""),"Money Out")</f>
        <v>Money Out</v>
      </c>
      <c r="D456" s="28" t="str">
        <f>IFERROR(__xludf.DUMMYFUNCTION("""COMPUTED_VALUE"""),"Product Restocking")</f>
        <v>Product Restocking</v>
      </c>
      <c r="E456" s="28"/>
      <c r="F456" s="28"/>
      <c r="G456" s="28">
        <v>-1215.0</v>
      </c>
      <c r="H456" s="28" t="s">
        <v>134</v>
      </c>
      <c r="J456" s="28" t="s">
        <v>134</v>
      </c>
    </row>
    <row r="457">
      <c r="A457" s="112">
        <f>IFERROR(__xludf.DUMMYFUNCTION("""COMPUTED_VALUE"""),46104.0)</f>
        <v>46104</v>
      </c>
      <c r="B457" s="113">
        <f>IFERROR(__xludf.DUMMYFUNCTION("""COMPUTED_VALUE"""),1084.0)</f>
        <v>1084</v>
      </c>
      <c r="C457" s="28" t="str">
        <f>IFERROR(__xludf.DUMMYFUNCTION("""COMPUTED_VALUE"""),"Money Out")</f>
        <v>Money Out</v>
      </c>
      <c r="D457" s="28" t="str">
        <f>IFERROR(__xludf.DUMMYFUNCTION("""COMPUTED_VALUE"""),"Product Restocking")</f>
        <v>Product Restocking</v>
      </c>
      <c r="E457" s="28"/>
      <c r="F457" s="28"/>
      <c r="G457" s="28">
        <v>-1084.0</v>
      </c>
      <c r="H457" s="28" t="s">
        <v>134</v>
      </c>
      <c r="J457" s="28" t="s">
        <v>134</v>
      </c>
    </row>
    <row r="458">
      <c r="A458" s="112">
        <f>IFERROR(__xludf.DUMMYFUNCTION("""COMPUTED_VALUE"""),46105.0)</f>
        <v>46105</v>
      </c>
      <c r="B458" s="113">
        <f>IFERROR(__xludf.DUMMYFUNCTION("""COMPUTED_VALUE"""),5020.0)</f>
        <v>5020</v>
      </c>
      <c r="C458" s="28" t="str">
        <f>IFERROR(__xludf.DUMMYFUNCTION("""COMPUTED_VALUE"""),"Money Out")</f>
        <v>Money Out</v>
      </c>
      <c r="D458" s="28" t="str">
        <f>IFERROR(__xludf.DUMMYFUNCTION("""COMPUTED_VALUE"""),"Product Restocking")</f>
        <v>Product Restocking</v>
      </c>
      <c r="E458" s="28"/>
      <c r="F458" s="28"/>
      <c r="G458" s="28">
        <v>-5020.0</v>
      </c>
      <c r="H458" s="28" t="s">
        <v>134</v>
      </c>
      <c r="J458" s="28" t="s">
        <v>134</v>
      </c>
    </row>
    <row r="459">
      <c r="A459" s="112">
        <f>IFERROR(__xludf.DUMMYFUNCTION("""COMPUTED_VALUE"""),46106.0)</f>
        <v>46106</v>
      </c>
      <c r="B459" s="113">
        <f>IFERROR(__xludf.DUMMYFUNCTION("""COMPUTED_VALUE"""),789.0)</f>
        <v>789</v>
      </c>
      <c r="C459" s="28" t="str">
        <f>IFERROR(__xludf.DUMMYFUNCTION("""COMPUTED_VALUE"""),"Money Out")</f>
        <v>Money Out</v>
      </c>
      <c r="D459" s="28" t="str">
        <f>IFERROR(__xludf.DUMMYFUNCTION("""COMPUTED_VALUE"""),"Product Restocking")</f>
        <v>Product Restocking</v>
      </c>
      <c r="E459" s="28"/>
      <c r="F459" s="28"/>
      <c r="G459" s="28">
        <v>-789.0</v>
      </c>
      <c r="H459" s="28" t="s">
        <v>134</v>
      </c>
      <c r="J459" s="28" t="s">
        <v>134</v>
      </c>
    </row>
    <row r="460">
      <c r="A460" s="112">
        <f>IFERROR(__xludf.DUMMYFUNCTION("""COMPUTED_VALUE"""),46107.0)</f>
        <v>46107</v>
      </c>
      <c r="B460" s="113">
        <f>IFERROR(__xludf.DUMMYFUNCTION("""COMPUTED_VALUE"""),613.0)</f>
        <v>613</v>
      </c>
      <c r="C460" s="28" t="str">
        <f>IFERROR(__xludf.DUMMYFUNCTION("""COMPUTED_VALUE"""),"Money Out")</f>
        <v>Money Out</v>
      </c>
      <c r="D460" s="28" t="str">
        <f>IFERROR(__xludf.DUMMYFUNCTION("""COMPUTED_VALUE"""),"Product Restocking")</f>
        <v>Product Restocking</v>
      </c>
      <c r="E460" s="28"/>
      <c r="F460" s="28"/>
      <c r="G460" s="28">
        <v>-613.0</v>
      </c>
      <c r="H460" s="28" t="s">
        <v>134</v>
      </c>
      <c r="J460" s="28" t="s">
        <v>134</v>
      </c>
    </row>
    <row r="461">
      <c r="A461" s="112">
        <f>IFERROR(__xludf.DUMMYFUNCTION("""COMPUTED_VALUE"""),46108.0)</f>
        <v>46108</v>
      </c>
      <c r="B461" s="113">
        <f>IFERROR(__xludf.DUMMYFUNCTION("""COMPUTED_VALUE"""),338.0)</f>
        <v>338</v>
      </c>
      <c r="C461" s="28" t="str">
        <f>IFERROR(__xludf.DUMMYFUNCTION("""COMPUTED_VALUE"""),"Money Out")</f>
        <v>Money Out</v>
      </c>
      <c r="D461" s="28" t="str">
        <f>IFERROR(__xludf.DUMMYFUNCTION("""COMPUTED_VALUE"""),"Anas")</f>
        <v>Anas</v>
      </c>
      <c r="E461" s="28"/>
      <c r="F461" s="28"/>
      <c r="G461" s="28">
        <v>-338.0</v>
      </c>
      <c r="H461" s="28" t="s">
        <v>139</v>
      </c>
      <c r="J461" s="28" t="s">
        <v>139</v>
      </c>
    </row>
    <row r="462">
      <c r="A462" s="112">
        <f>IFERROR(__xludf.DUMMYFUNCTION("""COMPUTED_VALUE"""),46107.0)</f>
        <v>46107</v>
      </c>
      <c r="B462" s="113">
        <f>IFERROR(__xludf.DUMMYFUNCTION("""COMPUTED_VALUE"""),840.0)</f>
        <v>840</v>
      </c>
      <c r="C462" s="28" t="str">
        <f>IFERROR(__xludf.DUMMYFUNCTION("""COMPUTED_VALUE"""),"Money Out")</f>
        <v>Money Out</v>
      </c>
      <c r="D462" s="28" t="str">
        <f>IFERROR(__xludf.DUMMYFUNCTION("""COMPUTED_VALUE"""),"charity")</f>
        <v>charity</v>
      </c>
      <c r="E462" s="28"/>
      <c r="F462" s="28"/>
      <c r="G462" s="28">
        <v>-840.0</v>
      </c>
      <c r="H462" s="28" t="s">
        <v>136</v>
      </c>
      <c r="J462" s="28" t="s">
        <v>136</v>
      </c>
    </row>
    <row r="463">
      <c r="A463" s="112">
        <f>IFERROR(__xludf.DUMMYFUNCTION("""COMPUTED_VALUE"""),46108.0)</f>
        <v>46108</v>
      </c>
      <c r="B463" s="113">
        <f>IFERROR(__xludf.DUMMYFUNCTION("""COMPUTED_VALUE"""),100.0)</f>
        <v>100</v>
      </c>
      <c r="C463" s="28" t="str">
        <f>IFERROR(__xludf.DUMMYFUNCTION("""COMPUTED_VALUE"""),"Money Out")</f>
        <v>Money Out</v>
      </c>
      <c r="D463" s="28"/>
      <c r="E463" s="28"/>
      <c r="F463" s="28"/>
      <c r="G463" s="28">
        <v>-100.0</v>
      </c>
      <c r="H463" s="28" t="s">
        <v>146</v>
      </c>
      <c r="J463" s="28" t="s">
        <v>146</v>
      </c>
    </row>
    <row r="464">
      <c r="A464" s="112">
        <f>IFERROR(__xludf.DUMMYFUNCTION("""COMPUTED_VALUE"""),46109.0)</f>
        <v>46109</v>
      </c>
      <c r="B464" s="113">
        <f>IFERROR(__xludf.DUMMYFUNCTION("""COMPUTED_VALUE"""),950.0)</f>
        <v>950</v>
      </c>
      <c r="C464" s="28" t="str">
        <f>IFERROR(__xludf.DUMMYFUNCTION("""COMPUTED_VALUE"""),"Money Out")</f>
        <v>Money Out</v>
      </c>
      <c r="D464" s="28" t="str">
        <f>IFERROR(__xludf.DUMMYFUNCTION("""COMPUTED_VALUE"""),"Rent")</f>
        <v>Rent</v>
      </c>
      <c r="E464" s="28" t="str">
        <f>IFERROR(__xludf.DUMMYFUNCTION("""COMPUTED_VALUE"""),"HTMall")</f>
        <v>HTMall</v>
      </c>
      <c r="F464" s="28" t="str">
        <f>IFERROR(__xludf.DUMMYFUNCTION("""COMPUTED_VALUE"""),"ايجار")</f>
        <v>ايجار</v>
      </c>
      <c r="G464" s="28">
        <v>-950.0</v>
      </c>
      <c r="H464" s="28" t="s">
        <v>137</v>
      </c>
      <c r="J464" s="28" t="s">
        <v>137</v>
      </c>
    </row>
    <row r="465">
      <c r="A465" s="112">
        <f>IFERROR(__xludf.DUMMYFUNCTION("""COMPUTED_VALUE"""),46104.0)</f>
        <v>46104</v>
      </c>
      <c r="B465" s="113">
        <f>IFERROR(__xludf.DUMMYFUNCTION("""COMPUTED_VALUE"""),2756.0)</f>
        <v>2756</v>
      </c>
      <c r="C465" s="28" t="str">
        <f>IFERROR(__xludf.DUMMYFUNCTION("""COMPUTED_VALUE"""),"Money In")</f>
        <v>Money In</v>
      </c>
      <c r="D465" s="28" t="str">
        <f>IFERROR(__xludf.DUMMYFUNCTION("""COMPUTED_VALUE"""),"Revenue")</f>
        <v>Revenue</v>
      </c>
      <c r="E465" s="28" t="str">
        <f>IFERROR(__xludf.DUMMYFUNCTION("""COMPUTED_VALUE"""),"deplomacyMall")</f>
        <v>deplomacyMall</v>
      </c>
      <c r="F465" s="28"/>
      <c r="G465" s="28">
        <v>2756.0</v>
      </c>
      <c r="H465" s="28" t="s">
        <v>135</v>
      </c>
      <c r="J465" s="28" t="s">
        <v>135</v>
      </c>
    </row>
    <row r="466">
      <c r="A466" s="112">
        <f>IFERROR(__xludf.DUMMYFUNCTION("""COMPUTED_VALUE"""),46104.0)</f>
        <v>46104</v>
      </c>
      <c r="B466" s="113">
        <f>IFERROR(__xludf.DUMMYFUNCTION("""COMPUTED_VALUE"""),9865.0)</f>
        <v>9865</v>
      </c>
      <c r="C466" s="28" t="str">
        <f>IFERROR(__xludf.DUMMYFUNCTION("""COMPUTED_VALUE"""),"Money In")</f>
        <v>Money In</v>
      </c>
      <c r="D466" s="28" t="str">
        <f>IFERROR(__xludf.DUMMYFUNCTION("""COMPUTED_VALUE"""),"Revenue")</f>
        <v>Revenue</v>
      </c>
      <c r="E466" s="28" t="str">
        <f>IFERROR(__xludf.DUMMYFUNCTION("""COMPUTED_VALUE"""),"HTMall")</f>
        <v>HTMall</v>
      </c>
      <c r="F466" s="28"/>
      <c r="G466" s="28">
        <v>9865.0</v>
      </c>
      <c r="H466" s="28" t="s">
        <v>135</v>
      </c>
      <c r="J466" s="28" t="s">
        <v>135</v>
      </c>
    </row>
    <row r="467">
      <c r="A467" s="112">
        <f>IFERROR(__xludf.DUMMYFUNCTION("""COMPUTED_VALUE"""),46104.0)</f>
        <v>46104</v>
      </c>
      <c r="B467" s="113">
        <f>IFERROR(__xludf.DUMMYFUNCTION("""COMPUTED_VALUE"""),3805.0)</f>
        <v>3805</v>
      </c>
      <c r="C467" s="28" t="str">
        <f>IFERROR(__xludf.DUMMYFUNCTION("""COMPUTED_VALUE"""),"Money In")</f>
        <v>Money In</v>
      </c>
      <c r="D467" s="28" t="str">
        <f>IFERROR(__xludf.DUMMYFUNCTION("""COMPUTED_VALUE"""),"Revenue")</f>
        <v>Revenue</v>
      </c>
      <c r="E467" s="28" t="str">
        <f>IFERROR(__xludf.DUMMYFUNCTION("""COMPUTED_VALUE"""),"HTLand")</f>
        <v>HTLand</v>
      </c>
      <c r="F467" s="28"/>
      <c r="G467" s="28">
        <v>3805.0</v>
      </c>
      <c r="H467" s="28" t="s">
        <v>135</v>
      </c>
      <c r="J467" s="28" t="s">
        <v>135</v>
      </c>
    </row>
    <row r="468">
      <c r="A468" s="112">
        <f>IFERROR(__xludf.DUMMYFUNCTION("""COMPUTED_VALUE"""),46104.0)</f>
        <v>46104</v>
      </c>
      <c r="B468" s="113">
        <f>IFERROR(__xludf.DUMMYFUNCTION("""COMPUTED_VALUE"""),3161.0)</f>
        <v>3161</v>
      </c>
      <c r="C468" s="28" t="str">
        <f>IFERROR(__xludf.DUMMYFUNCTION("""COMPUTED_VALUE"""),"Money In")</f>
        <v>Money In</v>
      </c>
      <c r="D468" s="28" t="str">
        <f>IFERROR(__xludf.DUMMYFUNCTION("""COMPUTED_VALUE"""),"Revenue")</f>
        <v>Revenue</v>
      </c>
      <c r="E468" s="28" t="str">
        <f>IFERROR(__xludf.DUMMYFUNCTION("""COMPUTED_VALUE"""),"AlmouasafatHospital")</f>
        <v>AlmouasafatHospital</v>
      </c>
      <c r="F468" s="28"/>
      <c r="G468" s="28">
        <v>3161.0</v>
      </c>
      <c r="H468" s="28" t="s">
        <v>135</v>
      </c>
      <c r="J468" s="28" t="s">
        <v>135</v>
      </c>
    </row>
    <row r="469">
      <c r="A469" s="112">
        <f>IFERROR(__xludf.DUMMYFUNCTION("""COMPUTED_VALUE"""),46105.0)</f>
        <v>46105</v>
      </c>
      <c r="B469" s="113">
        <f>IFERROR(__xludf.DUMMYFUNCTION("""COMPUTED_VALUE"""),1395.0)</f>
        <v>1395</v>
      </c>
      <c r="C469" s="28" t="str">
        <f>IFERROR(__xludf.DUMMYFUNCTION("""COMPUTED_VALUE"""),"Money In")</f>
        <v>Money In</v>
      </c>
      <c r="D469" s="28" t="str">
        <f>IFERROR(__xludf.DUMMYFUNCTION("""COMPUTED_VALUE"""),"Revenue")</f>
        <v>Revenue</v>
      </c>
      <c r="E469" s="28" t="str">
        <f>IFERROR(__xludf.DUMMYFUNCTION("""COMPUTED_VALUE"""),"HTMall")</f>
        <v>HTMall</v>
      </c>
      <c r="F469" s="28"/>
      <c r="G469" s="28">
        <v>1395.0</v>
      </c>
      <c r="H469" s="28" t="s">
        <v>135</v>
      </c>
      <c r="J469" s="28" t="s">
        <v>135</v>
      </c>
    </row>
    <row r="470">
      <c r="A470" s="112">
        <f>IFERROR(__xludf.DUMMYFUNCTION("""COMPUTED_VALUE"""),46109.0)</f>
        <v>46109</v>
      </c>
      <c r="B470" s="113">
        <f>IFERROR(__xludf.DUMMYFUNCTION("""COMPUTED_VALUE"""),2820.0)</f>
        <v>2820</v>
      </c>
      <c r="C470" s="28" t="str">
        <f>IFERROR(__xludf.DUMMYFUNCTION("""COMPUTED_VALUE"""),"Money Out")</f>
        <v>Money Out</v>
      </c>
      <c r="D470" s="28" t="str">
        <f>IFERROR(__xludf.DUMMYFUNCTION("""COMPUTED_VALUE"""),"Product Restocking")</f>
        <v>Product Restocking</v>
      </c>
      <c r="E470" s="28"/>
      <c r="F470" s="28"/>
      <c r="G470" s="28">
        <v>-2820.0</v>
      </c>
      <c r="H470" s="28" t="s">
        <v>134</v>
      </c>
      <c r="J470" s="28" t="s">
        <v>134</v>
      </c>
    </row>
    <row r="471">
      <c r="A471" s="112">
        <f>IFERROR(__xludf.DUMMYFUNCTION("""COMPUTED_VALUE"""),46112.0)</f>
        <v>46112</v>
      </c>
      <c r="B471" s="113">
        <f>IFERROR(__xludf.DUMMYFUNCTION("""COMPUTED_VALUE"""),2604.0)</f>
        <v>2604</v>
      </c>
      <c r="C471" s="28" t="str">
        <f>IFERROR(__xludf.DUMMYFUNCTION("""COMPUTED_VALUE"""),"Money In")</f>
        <v>Money In</v>
      </c>
      <c r="D471" s="28" t="str">
        <f>IFERROR(__xludf.DUMMYFUNCTION("""COMPUTED_VALUE"""),"Revenue")</f>
        <v>Revenue</v>
      </c>
      <c r="E471" s="28" t="str">
        <f>IFERROR(__xludf.DUMMYFUNCTION("""COMPUTED_VALUE"""),"deplomacyMall")</f>
        <v>deplomacyMall</v>
      </c>
      <c r="F471" s="28"/>
      <c r="G471" s="28">
        <v>2604.0</v>
      </c>
      <c r="H471" s="28" t="s">
        <v>135</v>
      </c>
      <c r="J471" s="28" t="s">
        <v>135</v>
      </c>
    </row>
    <row r="472">
      <c r="A472" s="112">
        <f>IFERROR(__xludf.DUMMYFUNCTION("""COMPUTED_VALUE"""),46112.0)</f>
        <v>46112</v>
      </c>
      <c r="B472" s="113">
        <f>IFERROR(__xludf.DUMMYFUNCTION("""COMPUTED_VALUE"""),1553.0)</f>
        <v>1553</v>
      </c>
      <c r="C472" s="28" t="str">
        <f>IFERROR(__xludf.DUMMYFUNCTION("""COMPUTED_VALUE"""),"Money In")</f>
        <v>Money In</v>
      </c>
      <c r="D472" s="28" t="str">
        <f>IFERROR(__xludf.DUMMYFUNCTION("""COMPUTED_VALUE"""),"Revenue")</f>
        <v>Revenue</v>
      </c>
      <c r="E472" s="28" t="str">
        <f>IFERROR(__xludf.DUMMYFUNCTION("""COMPUTED_VALUE"""),"AlmouasafatHospital")</f>
        <v>AlmouasafatHospital</v>
      </c>
      <c r="F472" s="28"/>
      <c r="G472" s="28">
        <v>1553.0</v>
      </c>
      <c r="H472" s="28" t="s">
        <v>135</v>
      </c>
      <c r="J472" s="28" t="s">
        <v>135</v>
      </c>
    </row>
    <row r="473">
      <c r="A473" s="112">
        <f>IFERROR(__xludf.DUMMYFUNCTION("""COMPUTED_VALUE"""),46112.0)</f>
        <v>46112</v>
      </c>
      <c r="B473" s="113">
        <f>IFERROR(__xludf.DUMMYFUNCTION("""COMPUTED_VALUE"""),3086.0)</f>
        <v>3086</v>
      </c>
      <c r="C473" s="28" t="str">
        <f>IFERROR(__xludf.DUMMYFUNCTION("""COMPUTED_VALUE"""),"Money In")</f>
        <v>Money In</v>
      </c>
      <c r="D473" s="28" t="str">
        <f>IFERROR(__xludf.DUMMYFUNCTION("""COMPUTED_VALUE"""),"Revenue")</f>
        <v>Revenue</v>
      </c>
      <c r="E473" s="28" t="str">
        <f>IFERROR(__xludf.DUMMYFUNCTION("""COMPUTED_VALUE"""),"HTMall")</f>
        <v>HTMall</v>
      </c>
      <c r="F473" s="28"/>
      <c r="G473" s="28">
        <v>3086.0</v>
      </c>
      <c r="H473" s="28" t="s">
        <v>135</v>
      </c>
      <c r="J473" s="28" t="s">
        <v>135</v>
      </c>
    </row>
    <row r="474">
      <c r="A474" s="112">
        <f>IFERROR(__xludf.DUMMYFUNCTION("""COMPUTED_VALUE"""),46112.0)</f>
        <v>46112</v>
      </c>
      <c r="B474" s="113">
        <f>IFERROR(__xludf.DUMMYFUNCTION("""COMPUTED_VALUE"""),1081.0)</f>
        <v>1081</v>
      </c>
      <c r="C474" s="28" t="str">
        <f>IFERROR(__xludf.DUMMYFUNCTION("""COMPUTED_VALUE"""),"Money In")</f>
        <v>Money In</v>
      </c>
      <c r="D474" s="28" t="str">
        <f>IFERROR(__xludf.DUMMYFUNCTION("""COMPUTED_VALUE"""),"Revenue")</f>
        <v>Revenue</v>
      </c>
      <c r="E474" s="28" t="str">
        <f>IFERROR(__xludf.DUMMYFUNCTION("""COMPUTED_VALUE"""),"AlTahaddy")</f>
        <v>AlTahaddy</v>
      </c>
      <c r="F474" s="28"/>
      <c r="G474" s="28">
        <v>1081.0</v>
      </c>
      <c r="H474" s="28" t="s">
        <v>135</v>
      </c>
      <c r="J474" s="28" t="s">
        <v>135</v>
      </c>
    </row>
    <row r="475">
      <c r="A475" s="112">
        <f>IFERROR(__xludf.DUMMYFUNCTION("""COMPUTED_VALUE"""),46112.0)</f>
        <v>46112</v>
      </c>
      <c r="B475" s="113">
        <f>IFERROR(__xludf.DUMMYFUNCTION("""COMPUTED_VALUE"""),2778.0)</f>
        <v>2778</v>
      </c>
      <c r="C475" s="28" t="str">
        <f>IFERROR(__xludf.DUMMYFUNCTION("""COMPUTED_VALUE"""),"Money In")</f>
        <v>Money In</v>
      </c>
      <c r="D475" s="28" t="str">
        <f>IFERROR(__xludf.DUMMYFUNCTION("""COMPUTED_VALUE"""),"Revenue")</f>
        <v>Revenue</v>
      </c>
      <c r="E475" s="28" t="str">
        <f>IFERROR(__xludf.DUMMYFUNCTION("""COMPUTED_VALUE"""),"HTLand")</f>
        <v>HTLand</v>
      </c>
      <c r="F475" s="28"/>
      <c r="G475" s="28">
        <v>2778.0</v>
      </c>
      <c r="H475" s="28" t="s">
        <v>135</v>
      </c>
      <c r="J475" s="28" t="s">
        <v>135</v>
      </c>
    </row>
    <row r="476">
      <c r="A476" s="112">
        <f>IFERROR(__xludf.DUMMYFUNCTION("""COMPUTED_VALUE"""),46112.0)</f>
        <v>46112</v>
      </c>
      <c r="B476" s="113">
        <f>IFERROR(__xludf.DUMMYFUNCTION("""COMPUTED_VALUE"""),350.0)</f>
        <v>350</v>
      </c>
      <c r="C476" s="28" t="str">
        <f>IFERROR(__xludf.DUMMYFUNCTION("""COMPUTED_VALUE"""),"Money Out")</f>
        <v>Money Out</v>
      </c>
      <c r="D476" s="28"/>
      <c r="E476" s="28"/>
      <c r="F476" s="28" t="str">
        <f>IFERROR(__xludf.DUMMYFUNCTION("""COMPUTED_VALUE"""),"نقل اله")</f>
        <v>نقل اله</v>
      </c>
      <c r="G476" s="28">
        <v>-350.0</v>
      </c>
      <c r="H476" s="28" t="s">
        <v>146</v>
      </c>
      <c r="J476" s="28" t="s">
        <v>146</v>
      </c>
    </row>
    <row r="477">
      <c r="A477" s="112">
        <f>IFERROR(__xludf.DUMMYFUNCTION("""COMPUTED_VALUE"""),46112.0)</f>
        <v>46112</v>
      </c>
      <c r="B477" s="113">
        <f>IFERROR(__xludf.DUMMYFUNCTION("""COMPUTED_VALUE"""),150.0)</f>
        <v>150</v>
      </c>
      <c r="C477" s="28" t="str">
        <f>IFERROR(__xludf.DUMMYFUNCTION("""COMPUTED_VALUE"""),"Money Out")</f>
        <v>Money Out</v>
      </c>
      <c r="D477" s="28" t="str">
        <f>IFERROR(__xludf.DUMMYFUNCTION("""COMPUTED_VALUE"""),"Anas")</f>
        <v>Anas</v>
      </c>
      <c r="E477" s="28"/>
      <c r="F477" s="28"/>
      <c r="G477" s="28">
        <v>-150.0</v>
      </c>
      <c r="H477" s="28" t="s">
        <v>139</v>
      </c>
      <c r="J477" s="28" t="s">
        <v>139</v>
      </c>
    </row>
    <row r="478">
      <c r="A478" s="112">
        <f>IFERROR(__xludf.DUMMYFUNCTION("""COMPUTED_VALUE"""),46114.0)</f>
        <v>46114</v>
      </c>
      <c r="B478" s="113">
        <f>IFERROR(__xludf.DUMMYFUNCTION("""COMPUTED_VALUE"""),3657.0)</f>
        <v>3657</v>
      </c>
      <c r="C478" s="28" t="str">
        <f>IFERROR(__xludf.DUMMYFUNCTION("""COMPUTED_VALUE"""),"Money Out")</f>
        <v>Money Out</v>
      </c>
      <c r="D478" s="28" t="str">
        <f>IFERROR(__xludf.DUMMYFUNCTION("""COMPUTED_VALUE"""),"Product Restocking")</f>
        <v>Product Restocking</v>
      </c>
      <c r="E478" s="28"/>
      <c r="F478" s="28"/>
      <c r="G478" s="28">
        <v>-3657.0</v>
      </c>
      <c r="H478" s="28" t="s">
        <v>134</v>
      </c>
      <c r="J478" s="28" t="s">
        <v>134</v>
      </c>
    </row>
    <row r="479">
      <c r="A479" s="112">
        <f>IFERROR(__xludf.DUMMYFUNCTION("""COMPUTED_VALUE"""),46116.0)</f>
        <v>46116</v>
      </c>
      <c r="B479" s="113">
        <f>IFERROR(__xludf.DUMMYFUNCTION("""COMPUTED_VALUE"""),2000.0)</f>
        <v>2000</v>
      </c>
      <c r="C479" s="28" t="str">
        <f>IFERROR(__xludf.DUMMYFUNCTION("""COMPUTED_VALUE"""),"Money Out")</f>
        <v>Money Out</v>
      </c>
      <c r="D479" s="28" t="str">
        <f>IFERROR(__xludf.DUMMYFUNCTION("""COMPUTED_VALUE"""),"storage")</f>
        <v>storage</v>
      </c>
      <c r="E479" s="28"/>
      <c r="F479" s="28" t="str">
        <f>IFERROR(__xludf.DUMMYFUNCTION("""COMPUTED_VALUE"""),"ايجار مخزن")</f>
        <v>ايجار مخزن</v>
      </c>
      <c r="G479" s="28">
        <v>-2000.0</v>
      </c>
      <c r="H479" s="28" t="s">
        <v>137</v>
      </c>
      <c r="J479" s="28" t="s">
        <v>137</v>
      </c>
    </row>
    <row r="480">
      <c r="A480" s="112">
        <f>IFERROR(__xludf.DUMMYFUNCTION("""COMPUTED_VALUE"""),46116.0)</f>
        <v>46116</v>
      </c>
      <c r="B480" s="113">
        <f>IFERROR(__xludf.DUMMYFUNCTION("""COMPUTED_VALUE"""),1225.0)</f>
        <v>1225</v>
      </c>
      <c r="C480" s="28" t="str">
        <f>IFERROR(__xludf.DUMMYFUNCTION("""COMPUTED_VALUE"""),"Money Out")</f>
        <v>Money Out</v>
      </c>
      <c r="D480" s="28" t="str">
        <f>IFERROR(__xludf.DUMMYFUNCTION("""COMPUTED_VALUE"""),"Product Restocking")</f>
        <v>Product Restocking</v>
      </c>
      <c r="E480" s="28"/>
      <c r="F480" s="28"/>
      <c r="G480" s="28">
        <v>-1225.0</v>
      </c>
      <c r="H480" s="28" t="s">
        <v>134</v>
      </c>
      <c r="J480" s="28" t="s">
        <v>134</v>
      </c>
    </row>
    <row r="481">
      <c r="A481" s="112">
        <f>IFERROR(__xludf.DUMMYFUNCTION("""COMPUTED_VALUE"""),46118.0)</f>
        <v>46118</v>
      </c>
      <c r="B481" s="113">
        <f>IFERROR(__xludf.DUMMYFUNCTION("""COMPUTED_VALUE"""),180.0)</f>
        <v>180</v>
      </c>
      <c r="C481" s="28" t="str">
        <f>IFERROR(__xludf.DUMMYFUNCTION("""COMPUTED_VALUE"""),"Money Out")</f>
        <v>Money Out</v>
      </c>
      <c r="D481" s="28" t="str">
        <f>IFERROR(__xludf.DUMMYFUNCTION("""COMPUTED_VALUE"""),"Product Restocking")</f>
        <v>Product Restocking</v>
      </c>
      <c r="E481" s="28"/>
      <c r="F481" s="28"/>
      <c r="G481" s="28">
        <v>-180.0</v>
      </c>
      <c r="H481" s="28" t="s">
        <v>134</v>
      </c>
      <c r="J481" s="28" t="s">
        <v>134</v>
      </c>
    </row>
    <row r="482">
      <c r="A482" s="112">
        <f>IFERROR(__xludf.DUMMYFUNCTION("""COMPUTED_VALUE"""),46119.0)</f>
        <v>46119</v>
      </c>
      <c r="B482" s="113">
        <f>IFERROR(__xludf.DUMMYFUNCTION("""COMPUTED_VALUE"""),283.0)</f>
        <v>283</v>
      </c>
      <c r="C482" s="28" t="str">
        <f>IFERROR(__xludf.DUMMYFUNCTION("""COMPUTED_VALUE"""),"Money Out")</f>
        <v>Money Out</v>
      </c>
      <c r="D482" s="28" t="str">
        <f>IFERROR(__xludf.DUMMYFUNCTION("""COMPUTED_VALUE"""),"Product Restocking")</f>
        <v>Product Restocking</v>
      </c>
      <c r="E482" s="28"/>
      <c r="F482" s="28"/>
      <c r="G482" s="28">
        <v>-283.0</v>
      </c>
      <c r="H482" s="28" t="s">
        <v>134</v>
      </c>
      <c r="J482" s="28" t="s">
        <v>134</v>
      </c>
    </row>
    <row r="483">
      <c r="A483" s="112">
        <f>IFERROR(__xludf.DUMMYFUNCTION("""COMPUTED_VALUE"""),46112.0)</f>
        <v>46112</v>
      </c>
      <c r="B483" s="113">
        <f>IFERROR(__xludf.DUMMYFUNCTION("""COMPUTED_VALUE"""),1500.0)</f>
        <v>1500</v>
      </c>
      <c r="C483" s="28" t="str">
        <f>IFERROR(__xludf.DUMMYFUNCTION("""COMPUTED_VALUE"""),"Money Out")</f>
        <v>Money Out</v>
      </c>
      <c r="D483" s="28" t="str">
        <f>IFERROR(__xludf.DUMMYFUNCTION("""COMPUTED_VALUE"""),"Ahmed")</f>
        <v>Ahmed</v>
      </c>
      <c r="E483" s="28"/>
      <c r="F483" s="28"/>
      <c r="G483" s="28">
        <v>-1500.0</v>
      </c>
      <c r="H483" s="28" t="s">
        <v>136</v>
      </c>
      <c r="J483" s="28" t="s">
        <v>136</v>
      </c>
    </row>
    <row r="484">
      <c r="A484" s="112">
        <f>IFERROR(__xludf.DUMMYFUNCTION("""COMPUTED_VALUE"""),46120.0)</f>
        <v>46120</v>
      </c>
      <c r="B484" s="113">
        <f>IFERROR(__xludf.DUMMYFUNCTION("""COMPUTED_VALUE"""),546.0)</f>
        <v>546</v>
      </c>
      <c r="C484" s="28" t="str">
        <f>IFERROR(__xludf.DUMMYFUNCTION("""COMPUTED_VALUE"""),"Money Out")</f>
        <v>Money Out</v>
      </c>
      <c r="D484" s="28"/>
      <c r="E484" s="28"/>
      <c r="F484" s="28" t="str">
        <f>IFERROR(__xludf.DUMMYFUNCTION("""COMPUTED_VALUE"""),"جزء الى نوري تركيب لصقه")</f>
        <v>جزء الى نوري تركيب لصقه</v>
      </c>
      <c r="G484" s="28">
        <v>-546.0</v>
      </c>
      <c r="H484" s="28" t="s">
        <v>146</v>
      </c>
      <c r="J484" s="28" t="s">
        <v>146</v>
      </c>
    </row>
    <row r="485">
      <c r="A485" s="112">
        <f>IFERROR(__xludf.DUMMYFUNCTION("""COMPUTED_VALUE"""),46121.0)</f>
        <v>46121</v>
      </c>
      <c r="B485" s="113">
        <f>IFERROR(__xludf.DUMMYFUNCTION("""COMPUTED_VALUE"""),1355.0)</f>
        <v>1355</v>
      </c>
      <c r="C485" s="28" t="str">
        <f>IFERROR(__xludf.DUMMYFUNCTION("""COMPUTED_VALUE"""),"Money Out")</f>
        <v>Money Out</v>
      </c>
      <c r="D485" s="28" t="str">
        <f>IFERROR(__xludf.DUMMYFUNCTION("""COMPUTED_VALUE"""),"Product Restocking")</f>
        <v>Product Restocking</v>
      </c>
      <c r="E485" s="28"/>
      <c r="F485" s="28"/>
      <c r="G485" s="28">
        <v>-1355.0</v>
      </c>
      <c r="H485" s="28" t="s">
        <v>134</v>
      </c>
      <c r="J485" s="28" t="s">
        <v>134</v>
      </c>
    </row>
    <row r="486">
      <c r="A486" s="112">
        <f>IFERROR(__xludf.DUMMYFUNCTION("""COMPUTED_VALUE"""),46123.0)</f>
        <v>46123</v>
      </c>
      <c r="B486" s="113">
        <f>IFERROR(__xludf.DUMMYFUNCTION("""COMPUTED_VALUE"""),1651.0)</f>
        <v>1651</v>
      </c>
      <c r="C486" s="28" t="str">
        <f>IFERROR(__xludf.DUMMYFUNCTION("""COMPUTED_VALUE"""),"Money In")</f>
        <v>Money In</v>
      </c>
      <c r="D486" s="28" t="str">
        <f>IFERROR(__xludf.DUMMYFUNCTION("""COMPUTED_VALUE"""),"Revenue")</f>
        <v>Revenue</v>
      </c>
      <c r="E486" s="28" t="str">
        <f>IFERROR(__xludf.DUMMYFUNCTION("""COMPUTED_VALUE"""),"AlmouasafatHospital")</f>
        <v>AlmouasafatHospital</v>
      </c>
      <c r="F486" s="28"/>
      <c r="G486" s="28">
        <v>1651.0</v>
      </c>
      <c r="H486" s="28" t="s">
        <v>135</v>
      </c>
      <c r="J486" s="28" t="s">
        <v>135</v>
      </c>
    </row>
    <row r="487">
      <c r="A487" s="112">
        <f>IFERROR(__xludf.DUMMYFUNCTION("""COMPUTED_VALUE"""),46123.0)</f>
        <v>46123</v>
      </c>
      <c r="B487" s="113">
        <f>IFERROR(__xludf.DUMMYFUNCTION("""COMPUTED_VALUE"""),2170.0)</f>
        <v>2170</v>
      </c>
      <c r="C487" s="28" t="str">
        <f>IFERROR(__xludf.DUMMYFUNCTION("""COMPUTED_VALUE"""),"Money Out")</f>
        <v>Money Out</v>
      </c>
      <c r="D487" s="28" t="str">
        <f>IFERROR(__xludf.DUMMYFUNCTION("""COMPUTED_VALUE"""),"Product Restocking")</f>
        <v>Product Restocking</v>
      </c>
      <c r="E487" s="28"/>
      <c r="F487" s="28"/>
      <c r="G487" s="28">
        <v>-2170.0</v>
      </c>
      <c r="H487" s="28" t="s">
        <v>134</v>
      </c>
      <c r="J487" s="28" t="s">
        <v>134</v>
      </c>
    </row>
    <row r="488">
      <c r="A488" s="112">
        <f>IFERROR(__xludf.DUMMYFUNCTION("""COMPUTED_VALUE"""),46124.0)</f>
        <v>46124</v>
      </c>
      <c r="B488" s="113">
        <f>IFERROR(__xludf.DUMMYFUNCTION("""COMPUTED_VALUE"""),3494.0)</f>
        <v>3494</v>
      </c>
      <c r="C488" s="28" t="str">
        <f>IFERROR(__xludf.DUMMYFUNCTION("""COMPUTED_VALUE"""),"Money In")</f>
        <v>Money In</v>
      </c>
      <c r="D488" s="28" t="str">
        <f>IFERROR(__xludf.DUMMYFUNCTION("""COMPUTED_VALUE"""),"Revenue")</f>
        <v>Revenue</v>
      </c>
      <c r="E488" s="28" t="str">
        <f>IFERROR(__xludf.DUMMYFUNCTION("""COMPUTED_VALUE"""),"AlTahaddy")</f>
        <v>AlTahaddy</v>
      </c>
      <c r="F488" s="28"/>
      <c r="G488" s="28">
        <v>3494.0</v>
      </c>
      <c r="H488" s="28" t="s">
        <v>135</v>
      </c>
      <c r="J488" s="28" t="s">
        <v>135</v>
      </c>
    </row>
    <row r="489">
      <c r="A489" s="112">
        <f>IFERROR(__xludf.DUMMYFUNCTION("""COMPUTED_VALUE"""),46124.0)</f>
        <v>46124</v>
      </c>
      <c r="B489" s="113">
        <f>IFERROR(__xludf.DUMMYFUNCTION("""COMPUTED_VALUE"""),1810.0)</f>
        <v>1810</v>
      </c>
      <c r="C489" s="28" t="str">
        <f>IFERROR(__xludf.DUMMYFUNCTION("""COMPUTED_VALUE"""),"Money In")</f>
        <v>Money In</v>
      </c>
      <c r="D489" s="28" t="str">
        <f>IFERROR(__xludf.DUMMYFUNCTION("""COMPUTED_VALUE"""),"Revenue")</f>
        <v>Revenue</v>
      </c>
      <c r="E489" s="28" t="str">
        <f>IFERROR(__xludf.DUMMYFUNCTION("""COMPUTED_VALUE"""),"KhalijUniversity")</f>
        <v>KhalijUniversity</v>
      </c>
      <c r="F489" s="28"/>
      <c r="G489" s="28">
        <v>1810.0</v>
      </c>
      <c r="H489" s="28" t="s">
        <v>135</v>
      </c>
      <c r="J489" s="28" t="s">
        <v>135</v>
      </c>
    </row>
    <row r="490">
      <c r="A490" s="112">
        <f>IFERROR(__xludf.DUMMYFUNCTION("""COMPUTED_VALUE"""),46126.0)</f>
        <v>46126</v>
      </c>
      <c r="B490" s="113">
        <f>IFERROR(__xludf.DUMMYFUNCTION("""COMPUTED_VALUE"""),1575.0)</f>
        <v>1575</v>
      </c>
      <c r="C490" s="28" t="str">
        <f>IFERROR(__xludf.DUMMYFUNCTION("""COMPUTED_VALUE"""),"Money Out")</f>
        <v>Money Out</v>
      </c>
      <c r="D490" s="28" t="str">
        <f>IFERROR(__xludf.DUMMYFUNCTION("""COMPUTED_VALUE"""),"Product Restocking")</f>
        <v>Product Restocking</v>
      </c>
      <c r="E490" s="28"/>
      <c r="F490" s="28"/>
      <c r="G490" s="28">
        <v>-1575.0</v>
      </c>
      <c r="H490" s="28" t="s">
        <v>134</v>
      </c>
      <c r="J490" s="28" t="s">
        <v>134</v>
      </c>
    </row>
    <row r="491">
      <c r="A491" s="112">
        <f>IFERROR(__xludf.DUMMYFUNCTION("""COMPUTED_VALUE"""),46126.0)</f>
        <v>46126</v>
      </c>
      <c r="B491" s="113">
        <f>IFERROR(__xludf.DUMMYFUNCTION("""COMPUTED_VALUE"""),6568.0)</f>
        <v>6568</v>
      </c>
      <c r="C491" s="28" t="str">
        <f>IFERROR(__xludf.DUMMYFUNCTION("""COMPUTED_VALUE"""),"Money In")</f>
        <v>Money In</v>
      </c>
      <c r="D491" s="28" t="str">
        <f>IFERROR(__xludf.DUMMYFUNCTION("""COMPUTED_VALUE"""),"Revenue")</f>
        <v>Revenue</v>
      </c>
      <c r="E491" s="28" t="str">
        <f>IFERROR(__xludf.DUMMYFUNCTION("""COMPUTED_VALUE"""),"Istiklal")</f>
        <v>Istiklal</v>
      </c>
      <c r="F491" s="28"/>
      <c r="G491" s="28">
        <v>6568.0</v>
      </c>
      <c r="H491" s="28" t="s">
        <v>135</v>
      </c>
      <c r="J491" s="28" t="s">
        <v>135</v>
      </c>
    </row>
    <row r="492">
      <c r="A492" s="112">
        <f>IFERROR(__xludf.DUMMYFUNCTION("""COMPUTED_VALUE"""),46127.0)</f>
        <v>46127</v>
      </c>
      <c r="B492" s="113">
        <f>IFERROR(__xludf.DUMMYFUNCTION("""COMPUTED_VALUE"""),1888.0)</f>
        <v>1888</v>
      </c>
      <c r="C492" s="28" t="str">
        <f>IFERROR(__xludf.DUMMYFUNCTION("""COMPUTED_VALUE"""),"Money In")</f>
        <v>Money In</v>
      </c>
      <c r="D492" s="28" t="str">
        <f>IFERROR(__xludf.DUMMYFUNCTION("""COMPUTED_VALUE"""),"Revenue")</f>
        <v>Revenue</v>
      </c>
      <c r="E492" s="28" t="str">
        <f>IFERROR(__xludf.DUMMYFUNCTION("""COMPUTED_VALUE"""),"KhalijUniversity")</f>
        <v>KhalijUniversity</v>
      </c>
      <c r="F492" s="28"/>
      <c r="G492" s="28">
        <v>1888.0</v>
      </c>
      <c r="H492" s="28" t="s">
        <v>135</v>
      </c>
      <c r="J492" s="28" t="s">
        <v>135</v>
      </c>
    </row>
    <row r="493">
      <c r="A493" s="112">
        <f>IFERROR(__xludf.DUMMYFUNCTION("""COMPUTED_VALUE"""),46127.0)</f>
        <v>46127</v>
      </c>
      <c r="B493" s="113">
        <f>IFERROR(__xludf.DUMMYFUNCTION("""COMPUTED_VALUE"""),1008.0)</f>
        <v>1008</v>
      </c>
      <c r="C493" s="28" t="str">
        <f>IFERROR(__xludf.DUMMYFUNCTION("""COMPUTED_VALUE"""),"Money Out")</f>
        <v>Money Out</v>
      </c>
      <c r="D493" s="28" t="str">
        <f>IFERROR(__xludf.DUMMYFUNCTION("""COMPUTED_VALUE"""),"Product Restocking")</f>
        <v>Product Restocking</v>
      </c>
      <c r="E493" s="28"/>
      <c r="F493" s="28"/>
      <c r="G493" s="28">
        <v>-1008.0</v>
      </c>
      <c r="H493" s="28" t="s">
        <v>134</v>
      </c>
      <c r="J493" s="28" t="s">
        <v>134</v>
      </c>
    </row>
    <row r="494">
      <c r="A494" s="112">
        <f>IFERROR(__xludf.DUMMYFUNCTION("""COMPUTED_VALUE"""),46128.0)</f>
        <v>46128</v>
      </c>
      <c r="B494" s="113">
        <f>IFERROR(__xludf.DUMMYFUNCTION("""COMPUTED_VALUE"""),4312.0)</f>
        <v>4312</v>
      </c>
      <c r="C494" s="28" t="str">
        <f>IFERROR(__xludf.DUMMYFUNCTION("""COMPUTED_VALUE"""),"Money In")</f>
        <v>Money In</v>
      </c>
      <c r="D494" s="28" t="str">
        <f>IFERROR(__xludf.DUMMYFUNCTION("""COMPUTED_VALUE"""),"Revenue")</f>
        <v>Revenue</v>
      </c>
      <c r="E494" s="28" t="str">
        <f>IFERROR(__xludf.DUMMYFUNCTION("""COMPUTED_VALUE"""),"HTMall")</f>
        <v>HTMall</v>
      </c>
      <c r="F494" s="28"/>
      <c r="G494" s="28">
        <v>4312.0</v>
      </c>
      <c r="H494" s="28" t="s">
        <v>135</v>
      </c>
      <c r="J494" s="28" t="s">
        <v>135</v>
      </c>
    </row>
    <row r="495">
      <c r="A495" s="112">
        <f>IFERROR(__xludf.DUMMYFUNCTION("""COMPUTED_VALUE"""),46128.0)</f>
        <v>46128</v>
      </c>
      <c r="B495" s="113">
        <f>IFERROR(__xludf.DUMMYFUNCTION("""COMPUTED_VALUE"""),2954.0)</f>
        <v>2954</v>
      </c>
      <c r="C495" s="28" t="str">
        <f>IFERROR(__xludf.DUMMYFUNCTION("""COMPUTED_VALUE"""),"Money In")</f>
        <v>Money In</v>
      </c>
      <c r="D495" s="28" t="str">
        <f>IFERROR(__xludf.DUMMYFUNCTION("""COMPUTED_VALUE"""),"Revenue")</f>
        <v>Revenue</v>
      </c>
      <c r="E495" s="28" t="str">
        <f>IFERROR(__xludf.DUMMYFUNCTION("""COMPUTED_VALUE"""),"HTLand")</f>
        <v>HTLand</v>
      </c>
      <c r="F495" s="28"/>
      <c r="G495" s="28">
        <v>2954.0</v>
      </c>
      <c r="H495" s="28" t="s">
        <v>135</v>
      </c>
      <c r="J495" s="28" t="s">
        <v>135</v>
      </c>
    </row>
    <row r="496">
      <c r="A496" s="112">
        <f>IFERROR(__xludf.DUMMYFUNCTION("""COMPUTED_VALUE"""),46129.0)</f>
        <v>46129</v>
      </c>
      <c r="B496" s="113">
        <f>IFERROR(__xludf.DUMMYFUNCTION("""COMPUTED_VALUE"""),1460.0)</f>
        <v>1460</v>
      </c>
      <c r="C496" s="28" t="str">
        <f>IFERROR(__xludf.DUMMYFUNCTION("""COMPUTED_VALUE"""),"Money In")</f>
        <v>Money In</v>
      </c>
      <c r="D496" s="28" t="str">
        <f>IFERROR(__xludf.DUMMYFUNCTION("""COMPUTED_VALUE"""),"Revenue")</f>
        <v>Revenue</v>
      </c>
      <c r="E496" s="28" t="str">
        <f>IFERROR(__xludf.DUMMYFUNCTION("""COMPUTED_VALUE"""),"AlTahaddy")</f>
        <v>AlTahaddy</v>
      </c>
      <c r="F496" s="28"/>
      <c r="G496" s="28">
        <v>1460.0</v>
      </c>
      <c r="H496" s="28" t="s">
        <v>135</v>
      </c>
      <c r="J496" s="28" t="s">
        <v>135</v>
      </c>
    </row>
    <row r="497">
      <c r="A497" s="112">
        <f>IFERROR(__xludf.DUMMYFUNCTION("""COMPUTED_VALUE"""),46129.0)</f>
        <v>46129</v>
      </c>
      <c r="B497" s="113">
        <f>IFERROR(__xludf.DUMMYFUNCTION("""COMPUTED_VALUE"""),488.0)</f>
        <v>488</v>
      </c>
      <c r="C497" s="28" t="str">
        <f>IFERROR(__xludf.DUMMYFUNCTION("""COMPUTED_VALUE"""),"Money Out")</f>
        <v>Money Out</v>
      </c>
      <c r="D497" s="28" t="str">
        <f>IFERROR(__xludf.DUMMYFUNCTION("""COMPUTED_VALUE"""),"Product Restocking")</f>
        <v>Product Restocking</v>
      </c>
      <c r="E497" s="28"/>
      <c r="F497" s="28"/>
      <c r="G497" s="28">
        <v>-488.0</v>
      </c>
      <c r="H497" s="28" t="s">
        <v>134</v>
      </c>
      <c r="J497" s="28" t="s">
        <v>134</v>
      </c>
    </row>
    <row r="498">
      <c r="A498" s="112">
        <f>IFERROR(__xludf.DUMMYFUNCTION("""COMPUTED_VALUE"""),46130.0)</f>
        <v>46130</v>
      </c>
      <c r="B498" s="113">
        <f>IFERROR(__xludf.DUMMYFUNCTION("""COMPUTED_VALUE"""),1077.0)</f>
        <v>1077</v>
      </c>
      <c r="C498" s="28" t="str">
        <f>IFERROR(__xludf.DUMMYFUNCTION("""COMPUTED_VALUE"""),"Money In")</f>
        <v>Money In</v>
      </c>
      <c r="D498" s="28" t="str">
        <f>IFERROR(__xludf.DUMMYFUNCTION("""COMPUTED_VALUE"""),"Revenue")</f>
        <v>Revenue</v>
      </c>
      <c r="E498" s="28" t="str">
        <f>IFERROR(__xludf.DUMMYFUNCTION("""COMPUTED_VALUE"""),"KhalijUniversity")</f>
        <v>KhalijUniversity</v>
      </c>
      <c r="F498" s="28"/>
      <c r="G498" s="28">
        <v>1077.0</v>
      </c>
      <c r="H498" s="28" t="s">
        <v>135</v>
      </c>
      <c r="J498" s="28" t="s">
        <v>135</v>
      </c>
    </row>
    <row r="499">
      <c r="A499" s="112">
        <f>IFERROR(__xludf.DUMMYFUNCTION("""COMPUTED_VALUE"""),46130.0)</f>
        <v>46130</v>
      </c>
      <c r="B499" s="113">
        <f>IFERROR(__xludf.DUMMYFUNCTION("""COMPUTED_VALUE"""),2220.0)</f>
        <v>2220</v>
      </c>
      <c r="C499" s="28" t="str">
        <f>IFERROR(__xludf.DUMMYFUNCTION("""COMPUTED_VALUE"""),"Money Out")</f>
        <v>Money Out</v>
      </c>
      <c r="D499" s="28" t="str">
        <f>IFERROR(__xludf.DUMMYFUNCTION("""COMPUTED_VALUE"""),"Product Restocking")</f>
        <v>Product Restocking</v>
      </c>
      <c r="E499" s="28"/>
      <c r="F499" s="28"/>
      <c r="G499" s="28">
        <v>-2220.0</v>
      </c>
      <c r="H499" s="28" t="s">
        <v>134</v>
      </c>
      <c r="J499" s="28" t="s">
        <v>134</v>
      </c>
    </row>
    <row r="500">
      <c r="A500" s="112">
        <f>IFERROR(__xludf.DUMMYFUNCTION("""COMPUTED_VALUE"""),46131.0)</f>
        <v>46131</v>
      </c>
      <c r="B500" s="113">
        <f>IFERROR(__xludf.DUMMYFUNCTION("""COMPUTED_VALUE"""),653.0)</f>
        <v>653</v>
      </c>
      <c r="C500" s="28" t="str">
        <f>IFERROR(__xludf.DUMMYFUNCTION("""COMPUTED_VALUE"""),"Money Out")</f>
        <v>Money Out</v>
      </c>
      <c r="D500" s="28" t="str">
        <f>IFERROR(__xludf.DUMMYFUNCTION("""COMPUTED_VALUE"""),"Product Restocking")</f>
        <v>Product Restocking</v>
      </c>
      <c r="E500" s="28"/>
      <c r="F500" s="28"/>
      <c r="G500" s="28">
        <v>-653.0</v>
      </c>
      <c r="H500" s="28" t="s">
        <v>134</v>
      </c>
      <c r="J500" s="28" t="s">
        <v>134</v>
      </c>
    </row>
    <row r="501">
      <c r="A501" s="112">
        <f>IFERROR(__xludf.DUMMYFUNCTION("""COMPUTED_VALUE"""),46132.0)</f>
        <v>46132</v>
      </c>
      <c r="B501" s="113">
        <f>IFERROR(__xludf.DUMMYFUNCTION("""COMPUTED_VALUE"""),3068.0)</f>
        <v>3068</v>
      </c>
      <c r="C501" s="28" t="str">
        <f>IFERROR(__xludf.DUMMYFUNCTION("""COMPUTED_VALUE"""),"Money Out")</f>
        <v>Money Out</v>
      </c>
      <c r="D501" s="28" t="str">
        <f>IFERROR(__xludf.DUMMYFUNCTION("""COMPUTED_VALUE"""),"Product Restocking")</f>
        <v>Product Restocking</v>
      </c>
      <c r="E501" s="28"/>
      <c r="F501" s="28"/>
      <c r="G501" s="28">
        <v>-3068.0</v>
      </c>
      <c r="H501" s="28" t="s">
        <v>134</v>
      </c>
      <c r="J501" s="28" t="s">
        <v>134</v>
      </c>
    </row>
    <row r="502">
      <c r="A502" s="112">
        <f>IFERROR(__xludf.DUMMYFUNCTION("""COMPUTED_VALUE"""),46134.0)</f>
        <v>46134</v>
      </c>
      <c r="B502" s="113">
        <f>IFERROR(__xludf.DUMMYFUNCTION("""COMPUTED_VALUE"""),1000.0)</f>
        <v>1000</v>
      </c>
      <c r="C502" s="28" t="str">
        <f>IFERROR(__xludf.DUMMYFUNCTION("""COMPUTED_VALUE"""),"Money Out")</f>
        <v>Money Out</v>
      </c>
      <c r="D502" s="28" t="str">
        <f>IFERROR(__xludf.DUMMYFUNCTION("""COMPUTED_VALUE"""),"Rent")</f>
        <v>Rent</v>
      </c>
      <c r="E502" s="28" t="str">
        <f>IFERROR(__xludf.DUMMYFUNCTION("""COMPUTED_VALUE"""),"HTMall")</f>
        <v>HTMall</v>
      </c>
      <c r="F502" s="28" t="str">
        <f>IFERROR(__xludf.DUMMYFUNCTION("""COMPUTED_VALUE"""),"ايجار شهر 4")</f>
        <v>ايجار شهر 4</v>
      </c>
      <c r="G502" s="28">
        <v>-1000.0</v>
      </c>
      <c r="H502" s="28" t="s">
        <v>137</v>
      </c>
      <c r="J502" s="28" t="s">
        <v>137</v>
      </c>
    </row>
    <row r="503">
      <c r="A503" s="112">
        <f>IFERROR(__xludf.DUMMYFUNCTION("""COMPUTED_VALUE"""),46135.0)</f>
        <v>46135</v>
      </c>
      <c r="B503" s="113">
        <f>IFERROR(__xludf.DUMMYFUNCTION("""COMPUTED_VALUE"""),1700.0)</f>
        <v>1700</v>
      </c>
      <c r="C503" s="28" t="str">
        <f>IFERROR(__xludf.DUMMYFUNCTION("""COMPUTED_VALUE"""),"Money Out")</f>
        <v>Money Out</v>
      </c>
      <c r="D503" s="28"/>
      <c r="E503" s="28"/>
      <c r="F503" s="28" t="str">
        <f>IFERROR(__xludf.DUMMYFUNCTION("""COMPUTED_VALUE"""),"لنوري تركيب تصاميم")</f>
        <v>لنوري تركيب تصاميم</v>
      </c>
      <c r="G503" s="28">
        <v>-1700.0</v>
      </c>
      <c r="H503" s="28" t="s">
        <v>146</v>
      </c>
      <c r="J503" s="28" t="s">
        <v>146</v>
      </c>
    </row>
    <row r="504">
      <c r="A504" s="112">
        <f>IFERROR(__xludf.DUMMYFUNCTION("""COMPUTED_VALUE"""),46135.0)</f>
        <v>46135</v>
      </c>
      <c r="B504" s="113">
        <f>IFERROR(__xludf.DUMMYFUNCTION("""COMPUTED_VALUE"""),1758.0)</f>
        <v>1758</v>
      </c>
      <c r="C504" s="28" t="str">
        <f>IFERROR(__xludf.DUMMYFUNCTION("""COMPUTED_VALUE"""),"Money In")</f>
        <v>Money In</v>
      </c>
      <c r="D504" s="28" t="str">
        <f>IFERROR(__xludf.DUMMYFUNCTION("""COMPUTED_VALUE"""),"Revenue")</f>
        <v>Revenue</v>
      </c>
      <c r="E504" s="28" t="str">
        <f>IFERROR(__xludf.DUMMYFUNCTION("""COMPUTED_VALUE"""),"KhalijUniversity")</f>
        <v>KhalijUniversity</v>
      </c>
      <c r="F504" s="28"/>
      <c r="G504" s="28">
        <v>1758.0</v>
      </c>
      <c r="H504" s="28" t="s">
        <v>135</v>
      </c>
      <c r="J504" s="28" t="s">
        <v>135</v>
      </c>
    </row>
    <row r="505">
      <c r="A505" s="112">
        <f>IFERROR(__xludf.DUMMYFUNCTION("""COMPUTED_VALUE"""),46136.0)</f>
        <v>46136</v>
      </c>
      <c r="B505" s="113">
        <f>IFERROR(__xludf.DUMMYFUNCTION("""COMPUTED_VALUE"""),1699.0)</f>
        <v>1699</v>
      </c>
      <c r="C505" s="28" t="str">
        <f>IFERROR(__xludf.DUMMYFUNCTION("""COMPUTED_VALUE"""),"Money In")</f>
        <v>Money In</v>
      </c>
      <c r="D505" s="28" t="str">
        <f>IFERROR(__xludf.DUMMYFUNCTION("""COMPUTED_VALUE"""),"Revenue")</f>
        <v>Revenue</v>
      </c>
      <c r="E505" s="28" t="str">
        <f>IFERROR(__xludf.DUMMYFUNCTION("""COMPUTED_VALUE"""),"AlTahaddy")</f>
        <v>AlTahaddy</v>
      </c>
      <c r="F505" s="28"/>
      <c r="G505" s="28">
        <v>1699.0</v>
      </c>
      <c r="H505" s="28" t="s">
        <v>135</v>
      </c>
      <c r="J505" s="28" t="s">
        <v>135</v>
      </c>
    </row>
    <row r="506">
      <c r="A506" s="112">
        <f>IFERROR(__xludf.DUMMYFUNCTION("""COMPUTED_VALUE"""),46137.0)</f>
        <v>46137</v>
      </c>
      <c r="B506" s="113">
        <f>IFERROR(__xludf.DUMMYFUNCTION("""COMPUTED_VALUE"""),2944.0)</f>
        <v>2944</v>
      </c>
      <c r="C506" s="28" t="str">
        <f>IFERROR(__xludf.DUMMYFUNCTION("""COMPUTED_VALUE"""),"Money In")</f>
        <v>Money In</v>
      </c>
      <c r="D506" s="28" t="str">
        <f>IFERROR(__xludf.DUMMYFUNCTION("""COMPUTED_VALUE"""),"Revenue")</f>
        <v>Revenue</v>
      </c>
      <c r="E506" s="28" t="str">
        <f>IFERROR(__xludf.DUMMYFUNCTION("""COMPUTED_VALUE"""),"AlmouasafatHospital")</f>
        <v>AlmouasafatHospital</v>
      </c>
      <c r="F506" s="28"/>
      <c r="G506" s="28">
        <v>2944.0</v>
      </c>
      <c r="H506" s="28" t="s">
        <v>135</v>
      </c>
      <c r="J506" s="28" t="s">
        <v>135</v>
      </c>
    </row>
    <row r="507">
      <c r="A507" s="112">
        <f>IFERROR(__xludf.DUMMYFUNCTION("""COMPUTED_VALUE"""),46137.0)</f>
        <v>46137</v>
      </c>
      <c r="B507" s="113">
        <f>IFERROR(__xludf.DUMMYFUNCTION("""COMPUTED_VALUE"""),1187.0)</f>
        <v>1187</v>
      </c>
      <c r="C507" s="28" t="str">
        <f>IFERROR(__xludf.DUMMYFUNCTION("""COMPUTED_VALUE"""),"Money In")</f>
        <v>Money In</v>
      </c>
      <c r="D507" s="28" t="str">
        <f>IFERROR(__xludf.DUMMYFUNCTION("""COMPUTED_VALUE"""),"Revenue")</f>
        <v>Revenue</v>
      </c>
      <c r="E507" s="28" t="str">
        <f>IFERROR(__xludf.DUMMYFUNCTION("""COMPUTED_VALUE"""),"KhalijUniversity")</f>
        <v>KhalijUniversity</v>
      </c>
      <c r="F507" s="28"/>
      <c r="G507" s="28">
        <v>1187.0</v>
      </c>
      <c r="H507" s="28" t="s">
        <v>135</v>
      </c>
      <c r="J507" s="28" t="s">
        <v>135</v>
      </c>
    </row>
    <row r="508">
      <c r="A508" s="112">
        <f>IFERROR(__xludf.DUMMYFUNCTION("""COMPUTED_VALUE"""),46138.0)</f>
        <v>46138</v>
      </c>
      <c r="B508" s="113">
        <f>IFERROR(__xludf.DUMMYFUNCTION("""COMPUTED_VALUE"""),2513.0)</f>
        <v>2513</v>
      </c>
      <c r="C508" s="28" t="str">
        <f>IFERROR(__xludf.DUMMYFUNCTION("""COMPUTED_VALUE"""),"Money In")</f>
        <v>Money In</v>
      </c>
      <c r="D508" s="28" t="str">
        <f>IFERROR(__xludf.DUMMYFUNCTION("""COMPUTED_VALUE"""),"Revenue")</f>
        <v>Revenue</v>
      </c>
      <c r="E508" s="28" t="str">
        <f>IFERROR(__xludf.DUMMYFUNCTION("""COMPUTED_VALUE"""),"HTMall")</f>
        <v>HTMall</v>
      </c>
      <c r="F508" s="28"/>
      <c r="G508" s="28">
        <v>2513.0</v>
      </c>
      <c r="H508" s="28" t="s">
        <v>135</v>
      </c>
      <c r="J508" s="28" t="s">
        <v>135</v>
      </c>
    </row>
    <row r="509">
      <c r="A509" s="112">
        <f>IFERROR(__xludf.DUMMYFUNCTION("""COMPUTED_VALUE"""),46137.0)</f>
        <v>46137</v>
      </c>
      <c r="B509" s="113">
        <f>IFERROR(__xludf.DUMMYFUNCTION("""COMPUTED_VALUE"""),1972.0)</f>
        <v>1972</v>
      </c>
      <c r="C509" s="28" t="str">
        <f>IFERROR(__xludf.DUMMYFUNCTION("""COMPUTED_VALUE"""),"Money Out")</f>
        <v>Money Out</v>
      </c>
      <c r="D509" s="28" t="str">
        <f>IFERROR(__xludf.DUMMYFUNCTION("""COMPUTED_VALUE"""),"Product Restocking")</f>
        <v>Product Restocking</v>
      </c>
      <c r="E509" s="28"/>
      <c r="F509" s="28"/>
      <c r="G509" s="28">
        <v>-1972.0</v>
      </c>
      <c r="H509" s="28" t="s">
        <v>134</v>
      </c>
      <c r="J509" s="28" t="s">
        <v>134</v>
      </c>
    </row>
    <row r="510">
      <c r="A510" s="112">
        <f>IFERROR(__xludf.DUMMYFUNCTION("""COMPUTED_VALUE"""),46138.0)</f>
        <v>46138</v>
      </c>
      <c r="B510" s="113">
        <f>IFERROR(__xludf.DUMMYFUNCTION("""COMPUTED_VALUE"""),1967.0)</f>
        <v>1967</v>
      </c>
      <c r="C510" s="28" t="str">
        <f>IFERROR(__xludf.DUMMYFUNCTION("""COMPUTED_VALUE"""),"Money Out")</f>
        <v>Money Out</v>
      </c>
      <c r="D510" s="28" t="str">
        <f>IFERROR(__xludf.DUMMYFUNCTION("""COMPUTED_VALUE"""),"Product Restocking")</f>
        <v>Product Restocking</v>
      </c>
      <c r="E510" s="28"/>
      <c r="F510" s="28"/>
      <c r="G510" s="28">
        <v>-1967.0</v>
      </c>
      <c r="H510" s="28" t="s">
        <v>134</v>
      </c>
      <c r="J510" s="28" t="s">
        <v>134</v>
      </c>
    </row>
    <row r="511">
      <c r="A511" s="112">
        <f>IFERROR(__xludf.DUMMYFUNCTION("""COMPUTED_VALUE"""),46140.0)</f>
        <v>46140</v>
      </c>
      <c r="B511" s="113">
        <f>IFERROR(__xludf.DUMMYFUNCTION("""COMPUTED_VALUE"""),400.0)</f>
        <v>400</v>
      </c>
      <c r="C511" s="28" t="str">
        <f>IFERROR(__xludf.DUMMYFUNCTION("""COMPUTED_VALUE"""),"Money Out")</f>
        <v>Money Out</v>
      </c>
      <c r="D511" s="28" t="str">
        <f>IFERROR(__xludf.DUMMYFUNCTION("""COMPUTED_VALUE"""),"Product Restocking")</f>
        <v>Product Restocking</v>
      </c>
      <c r="E511" s="28"/>
      <c r="F511" s="28"/>
      <c r="G511" s="28">
        <v>-400.0</v>
      </c>
      <c r="H511" s="28" t="s">
        <v>134</v>
      </c>
      <c r="J511" s="28" t="s">
        <v>134</v>
      </c>
    </row>
    <row r="512">
      <c r="A512" s="112">
        <f>IFERROR(__xludf.DUMMYFUNCTION("""COMPUTED_VALUE"""),46140.0)</f>
        <v>46140</v>
      </c>
      <c r="B512" s="113">
        <f>IFERROR(__xludf.DUMMYFUNCTION("""COMPUTED_VALUE"""),4680.0)</f>
        <v>4680</v>
      </c>
      <c r="C512" s="28" t="str">
        <f>IFERROR(__xludf.DUMMYFUNCTION("""COMPUTED_VALUE"""),"Money Out")</f>
        <v>Money Out</v>
      </c>
      <c r="D512" s="28"/>
      <c r="E512" s="28"/>
      <c r="F512" s="28" t="str">
        <f>IFERROR(__xludf.DUMMYFUNCTION("""COMPUTED_VALUE"""),"شراء دولار")</f>
        <v>شراء دولار</v>
      </c>
      <c r="G512" s="28">
        <v>-4680.0</v>
      </c>
      <c r="H512" s="28" t="s">
        <v>146</v>
      </c>
      <c r="J512" s="28" t="s">
        <v>146</v>
      </c>
    </row>
    <row r="513">
      <c r="A513" s="112">
        <f>IFERROR(__xludf.DUMMYFUNCTION("""COMPUTED_VALUE"""),46141.0)</f>
        <v>46141</v>
      </c>
      <c r="B513" s="113">
        <f>IFERROR(__xludf.DUMMYFUNCTION("""COMPUTED_VALUE"""),900.0)</f>
        <v>900</v>
      </c>
      <c r="C513" s="28" t="str">
        <f>IFERROR(__xludf.DUMMYFUNCTION("""COMPUTED_VALUE"""),"Money Out")</f>
        <v>Money Out</v>
      </c>
      <c r="D513" s="28" t="str">
        <f>IFERROR(__xludf.DUMMYFUNCTION("""COMPUTED_VALUE"""),"Product Restocking")</f>
        <v>Product Restocking</v>
      </c>
      <c r="E513" s="28"/>
      <c r="F513" s="28"/>
      <c r="G513" s="28">
        <v>-900.0</v>
      </c>
      <c r="H513" s="28" t="s">
        <v>134</v>
      </c>
      <c r="J513" s="28" t="s">
        <v>134</v>
      </c>
    </row>
    <row r="514">
      <c r="A514" s="112">
        <f>IFERROR(__xludf.DUMMYFUNCTION("""COMPUTED_VALUE"""),46141.0)</f>
        <v>46141</v>
      </c>
      <c r="B514" s="113">
        <f>IFERROR(__xludf.DUMMYFUNCTION("""COMPUTED_VALUE"""),1566.0)</f>
        <v>1566</v>
      </c>
      <c r="C514" s="28" t="str">
        <f>IFERROR(__xludf.DUMMYFUNCTION("""COMPUTED_VALUE"""),"Money In")</f>
        <v>Money In</v>
      </c>
      <c r="D514" s="28" t="str">
        <f>IFERROR(__xludf.DUMMYFUNCTION("""COMPUTED_VALUE"""),"Revenue")</f>
        <v>Revenue</v>
      </c>
      <c r="E514" s="28" t="str">
        <f>IFERROR(__xludf.DUMMYFUNCTION("""COMPUTED_VALUE"""),"KhalijUniversity")</f>
        <v>KhalijUniversity</v>
      </c>
      <c r="F514" s="28"/>
      <c r="G514" s="28">
        <v>1566.0</v>
      </c>
      <c r="H514" s="28" t="s">
        <v>135</v>
      </c>
      <c r="J514" s="28" t="s">
        <v>135</v>
      </c>
    </row>
    <row r="515">
      <c r="A515" s="112">
        <f>IFERROR(__xludf.DUMMYFUNCTION("""COMPUTED_VALUE"""),46142.0)</f>
        <v>46142</v>
      </c>
      <c r="B515" s="113">
        <f>IFERROR(__xludf.DUMMYFUNCTION("""COMPUTED_VALUE"""),118.0)</f>
        <v>118</v>
      </c>
      <c r="C515" s="28" t="str">
        <f>IFERROR(__xludf.DUMMYFUNCTION("""COMPUTED_VALUE"""),"Money Out")</f>
        <v>Money Out</v>
      </c>
      <c r="D515" s="28"/>
      <c r="E515" s="28"/>
      <c r="F515" s="28" t="str">
        <f>IFERROR(__xludf.DUMMYFUNCTION("""COMPUTED_VALUE"""),"تفعيل مصرف")</f>
        <v>تفعيل مصرف</v>
      </c>
      <c r="G515" s="28">
        <v>-118.0</v>
      </c>
      <c r="H515" s="28" t="s">
        <v>146</v>
      </c>
      <c r="J515" s="28" t="s">
        <v>146</v>
      </c>
    </row>
    <row r="516">
      <c r="A516" s="112">
        <f>IFERROR(__xludf.DUMMYFUNCTION("""COMPUTED_VALUE"""),46142.0)</f>
        <v>46142</v>
      </c>
      <c r="B516" s="113">
        <f>IFERROR(__xludf.DUMMYFUNCTION("""COMPUTED_VALUE"""),1430.0)</f>
        <v>1430</v>
      </c>
      <c r="C516" s="28" t="str">
        <f>IFERROR(__xludf.DUMMYFUNCTION("""COMPUTED_VALUE"""),"Money Out")</f>
        <v>Money Out</v>
      </c>
      <c r="D516" s="28" t="str">
        <f>IFERROR(__xludf.DUMMYFUNCTION("""COMPUTED_VALUE"""),"Anas")</f>
        <v>Anas</v>
      </c>
      <c r="E516" s="28"/>
      <c r="F516" s="28"/>
      <c r="G516" s="28">
        <v>-1430.0</v>
      </c>
      <c r="H516" s="28" t="s">
        <v>139</v>
      </c>
      <c r="J516" s="28" t="s">
        <v>139</v>
      </c>
    </row>
    <row r="517">
      <c r="A517" s="112">
        <f>IFERROR(__xludf.DUMMYFUNCTION("""COMPUTED_VALUE"""),46142.0)</f>
        <v>46142</v>
      </c>
      <c r="B517" s="113">
        <f>IFERROR(__xludf.DUMMYFUNCTION("""COMPUTED_VALUE"""),1610.0)</f>
        <v>1610</v>
      </c>
      <c r="C517" s="28" t="str">
        <f>IFERROR(__xludf.DUMMYFUNCTION("""COMPUTED_VALUE"""),"Money In")</f>
        <v>Money In</v>
      </c>
      <c r="D517" s="28" t="str">
        <f>IFERROR(__xludf.DUMMYFUNCTION("""COMPUTED_VALUE"""),"Revenue")</f>
        <v>Revenue</v>
      </c>
      <c r="E517" s="28" t="str">
        <f>IFERROR(__xludf.DUMMYFUNCTION("""COMPUTED_VALUE"""),"AlTahaddy")</f>
        <v>AlTahaddy</v>
      </c>
      <c r="F517" s="28"/>
      <c r="G517" s="28">
        <v>1610.0</v>
      </c>
      <c r="H517" s="28" t="s">
        <v>135</v>
      </c>
      <c r="J517" s="28" t="s">
        <v>135</v>
      </c>
    </row>
    <row r="518">
      <c r="A518" s="112">
        <f>IFERROR(__xludf.DUMMYFUNCTION("""COMPUTED_VALUE"""),46142.0)</f>
        <v>46142</v>
      </c>
      <c r="B518" s="113">
        <f>IFERROR(__xludf.DUMMYFUNCTION("""COMPUTED_VALUE"""),2564.0)</f>
        <v>2564</v>
      </c>
      <c r="C518" s="28" t="str">
        <f>IFERROR(__xludf.DUMMYFUNCTION("""COMPUTED_VALUE"""),"Money In")</f>
        <v>Money In</v>
      </c>
      <c r="D518" s="28" t="str">
        <f>IFERROR(__xludf.DUMMYFUNCTION("""COMPUTED_VALUE"""),"Revenue")</f>
        <v>Revenue</v>
      </c>
      <c r="E518" s="28" t="str">
        <f>IFERROR(__xludf.DUMMYFUNCTION("""COMPUTED_VALUE"""),"HTLand")</f>
        <v>HTLand</v>
      </c>
      <c r="F518" s="28"/>
      <c r="G518" s="28">
        <v>2564.0</v>
      </c>
      <c r="H518" s="28" t="s">
        <v>135</v>
      </c>
      <c r="J518" s="28" t="s">
        <v>135</v>
      </c>
    </row>
    <row r="519">
      <c r="A519" s="112">
        <f>IFERROR(__xludf.DUMMYFUNCTION("""COMPUTED_VALUE"""),46142.0)</f>
        <v>46142</v>
      </c>
      <c r="B519" s="113">
        <f>IFERROR(__xludf.DUMMYFUNCTION("""COMPUTED_VALUE"""),1276.0)</f>
        <v>1276</v>
      </c>
      <c r="C519" s="28" t="str">
        <f>IFERROR(__xludf.DUMMYFUNCTION("""COMPUTED_VALUE"""),"Money In")</f>
        <v>Money In</v>
      </c>
      <c r="D519" s="28" t="str">
        <f>IFERROR(__xludf.DUMMYFUNCTION("""COMPUTED_VALUE"""),"Revenue")</f>
        <v>Revenue</v>
      </c>
      <c r="E519" s="28" t="str">
        <f>IFERROR(__xludf.DUMMYFUNCTION("""COMPUTED_VALUE"""),"AlmouasafatHospital")</f>
        <v>AlmouasafatHospital</v>
      </c>
      <c r="F519" s="28"/>
      <c r="G519" s="28">
        <v>1276.0</v>
      </c>
      <c r="H519" s="28" t="s">
        <v>135</v>
      </c>
      <c r="J519" s="28" t="s">
        <v>135</v>
      </c>
    </row>
    <row r="520">
      <c r="A520" s="112">
        <f>IFERROR(__xludf.DUMMYFUNCTION("""COMPUTED_VALUE"""),46142.0)</f>
        <v>46142</v>
      </c>
      <c r="B520" s="113">
        <f>IFERROR(__xludf.DUMMYFUNCTION("""COMPUTED_VALUE"""),2335.0)</f>
        <v>2335</v>
      </c>
      <c r="C520" s="28" t="str">
        <f>IFERROR(__xludf.DUMMYFUNCTION("""COMPUTED_VALUE"""),"Money In")</f>
        <v>Money In</v>
      </c>
      <c r="D520" s="28" t="str">
        <f>IFERROR(__xludf.DUMMYFUNCTION("""COMPUTED_VALUE"""),"Revenue")</f>
        <v>Revenue</v>
      </c>
      <c r="E520" s="28" t="str">
        <f>IFERROR(__xludf.DUMMYFUNCTION("""COMPUTED_VALUE"""),"Istiklal")</f>
        <v>Istiklal</v>
      </c>
      <c r="F520" s="28"/>
      <c r="G520" s="28">
        <v>2335.0</v>
      </c>
      <c r="H520" s="28" t="s">
        <v>135</v>
      </c>
      <c r="J520" s="28" t="s">
        <v>135</v>
      </c>
    </row>
    <row r="521">
      <c r="A521" s="112">
        <f>IFERROR(__xludf.DUMMYFUNCTION("""COMPUTED_VALUE"""),46142.0)</f>
        <v>46142</v>
      </c>
      <c r="B521" s="113">
        <f>IFERROR(__xludf.DUMMYFUNCTION("""COMPUTED_VALUE"""),874.0)</f>
        <v>874</v>
      </c>
      <c r="C521" s="28" t="str">
        <f>IFERROR(__xludf.DUMMYFUNCTION("""COMPUTED_VALUE"""),"Money In")</f>
        <v>Money In</v>
      </c>
      <c r="D521" s="28" t="str">
        <f>IFERROR(__xludf.DUMMYFUNCTION("""COMPUTED_VALUE"""),"Revenue")</f>
        <v>Revenue</v>
      </c>
      <c r="E521" s="28" t="str">
        <f>IFERROR(__xludf.DUMMYFUNCTION("""COMPUTED_VALUE"""),"HTMall")</f>
        <v>HTMall</v>
      </c>
      <c r="F521" s="28"/>
      <c r="G521" s="28">
        <v>874.0</v>
      </c>
      <c r="H521" s="28" t="s">
        <v>135</v>
      </c>
      <c r="J521" s="28" t="s">
        <v>135</v>
      </c>
    </row>
    <row r="522">
      <c r="A522" s="112">
        <f>IFERROR(__xludf.DUMMYFUNCTION("""COMPUTED_VALUE"""),46142.0)</f>
        <v>46142</v>
      </c>
      <c r="B522" s="113">
        <f>IFERROR(__xludf.DUMMYFUNCTION("""COMPUTED_VALUE"""),544.0)</f>
        <v>544</v>
      </c>
      <c r="C522" s="28" t="str">
        <f>IFERROR(__xludf.DUMMYFUNCTION("""COMPUTED_VALUE"""),"Money In")</f>
        <v>Money In</v>
      </c>
      <c r="D522" s="28" t="str">
        <f>IFERROR(__xludf.DUMMYFUNCTION("""COMPUTED_VALUE"""),"Revenue")</f>
        <v>Revenue</v>
      </c>
      <c r="E522" s="28" t="str">
        <f>IFERROR(__xludf.DUMMYFUNCTION("""COMPUTED_VALUE"""),"KhalijUniversity")</f>
        <v>KhalijUniversity</v>
      </c>
      <c r="F522" s="28"/>
      <c r="G522" s="28">
        <v>544.0</v>
      </c>
      <c r="H522" s="28" t="s">
        <v>135</v>
      </c>
      <c r="J522" s="28" t="s">
        <v>135</v>
      </c>
    </row>
    <row r="523">
      <c r="A523" s="112">
        <f>IFERROR(__xludf.DUMMYFUNCTION("""COMPUTED_VALUE"""),46143.0)</f>
        <v>46143</v>
      </c>
      <c r="B523" s="113">
        <f>IFERROR(__xludf.DUMMYFUNCTION("""COMPUTED_VALUE"""),1488.0)</f>
        <v>1488</v>
      </c>
      <c r="C523" s="28" t="str">
        <f>IFERROR(__xludf.DUMMYFUNCTION("""COMPUTED_VALUE"""),"Money Out")</f>
        <v>Money Out</v>
      </c>
      <c r="D523" s="28" t="str">
        <f>IFERROR(__xludf.DUMMYFUNCTION("""COMPUTED_VALUE"""),"Product Restocking")</f>
        <v>Product Restocking</v>
      </c>
      <c r="E523" s="28"/>
      <c r="F523" s="28"/>
      <c r="G523" s="28">
        <v>-1488.0</v>
      </c>
      <c r="H523" s="28" t="s">
        <v>134</v>
      </c>
      <c r="J523" s="28" t="s">
        <v>134</v>
      </c>
    </row>
    <row r="524">
      <c r="A524" s="112">
        <f>IFERROR(__xludf.DUMMYFUNCTION("""COMPUTED_VALUE"""),46144.0)</f>
        <v>46144</v>
      </c>
      <c r="B524" s="113">
        <f>IFERROR(__xludf.DUMMYFUNCTION("""COMPUTED_VALUE"""),1201.0)</f>
        <v>1201</v>
      </c>
      <c r="C524" s="28" t="str">
        <f>IFERROR(__xludf.DUMMYFUNCTION("""COMPUTED_VALUE"""),"Money Out")</f>
        <v>Money Out</v>
      </c>
      <c r="D524" s="28" t="str">
        <f>IFERROR(__xludf.DUMMYFUNCTION("""COMPUTED_VALUE"""),"Product Restocking")</f>
        <v>Product Restocking</v>
      </c>
      <c r="E524" s="28"/>
      <c r="F524" s="28"/>
      <c r="G524" s="28">
        <v>-1201.0</v>
      </c>
      <c r="H524" s="28" t="s">
        <v>134</v>
      </c>
      <c r="J524" s="28" t="s">
        <v>134</v>
      </c>
    </row>
    <row r="525">
      <c r="A525" s="112">
        <f>IFERROR(__xludf.DUMMYFUNCTION("""COMPUTED_VALUE"""),46145.0)</f>
        <v>46145</v>
      </c>
      <c r="B525" s="113">
        <f>IFERROR(__xludf.DUMMYFUNCTION("""COMPUTED_VALUE"""),827.0)</f>
        <v>827</v>
      </c>
      <c r="C525" s="28" t="str">
        <f>IFERROR(__xludf.DUMMYFUNCTION("""COMPUTED_VALUE"""),"Money Out")</f>
        <v>Money Out</v>
      </c>
      <c r="D525" s="28" t="str">
        <f>IFERROR(__xludf.DUMMYFUNCTION("""COMPUTED_VALUE"""),"Product Restocking")</f>
        <v>Product Restocking</v>
      </c>
      <c r="E525" s="28"/>
      <c r="F525" s="28"/>
      <c r="G525" s="28">
        <v>-827.0</v>
      </c>
      <c r="H525" s="28" t="s">
        <v>134</v>
      </c>
      <c r="J525" s="28" t="s">
        <v>134</v>
      </c>
    </row>
    <row r="526">
      <c r="A526" s="112">
        <f>IFERROR(__xludf.DUMMYFUNCTION("""COMPUTED_VALUE"""),46147.0)</f>
        <v>46147</v>
      </c>
      <c r="B526" s="113"/>
      <c r="C526" s="28"/>
      <c r="D526" s="28"/>
      <c r="E526" s="28"/>
      <c r="F526" s="28"/>
      <c r="G526" s="28">
        <v>0.0</v>
      </c>
      <c r="H526" s="28" t="s">
        <v>146</v>
      </c>
      <c r="J526" s="28" t="s">
        <v>146</v>
      </c>
    </row>
    <row r="527">
      <c r="A527" s="112">
        <f>IFERROR(__xludf.DUMMYFUNCTION("""COMPUTED_VALUE"""),46156.0)</f>
        <v>46156</v>
      </c>
      <c r="B527" s="113"/>
      <c r="C527" s="28"/>
      <c r="D527" s="28"/>
      <c r="E527" s="28"/>
      <c r="F527" s="28"/>
      <c r="G527" s="28">
        <v>0.0</v>
      </c>
      <c r="H527" s="28" t="s">
        <v>146</v>
      </c>
      <c r="J527" s="28" t="s">
        <v>146</v>
      </c>
    </row>
    <row r="528">
      <c r="A528" s="112">
        <f>IFERROR(__xludf.DUMMYFUNCTION("""COMPUTED_VALUE"""),46157.0)</f>
        <v>46157</v>
      </c>
      <c r="B528" s="113"/>
      <c r="C528" s="28"/>
      <c r="D528" s="28"/>
      <c r="E528" s="28"/>
      <c r="F528" s="28"/>
      <c r="G528" s="28">
        <v>0.0</v>
      </c>
      <c r="H528" s="28" t="s">
        <v>146</v>
      </c>
      <c r="J528" s="28" t="s">
        <v>146</v>
      </c>
    </row>
    <row r="529">
      <c r="G529" s="28" t="s">
        <v>147</v>
      </c>
      <c r="H529" s="28" t="s">
        <v>147</v>
      </c>
      <c r="J529" s="28" t="s">
        <v>147</v>
      </c>
    </row>
    <row r="530">
      <c r="G530" s="28" t="s">
        <v>147</v>
      </c>
      <c r="H530" s="28" t="s">
        <v>147</v>
      </c>
      <c r="J530" s="28" t="s">
        <v>147</v>
      </c>
    </row>
    <row r="531">
      <c r="G531" s="28" t="s">
        <v>147</v>
      </c>
      <c r="H531" s="28" t="s">
        <v>147</v>
      </c>
      <c r="J531" s="28" t="s">
        <v>147</v>
      </c>
    </row>
    <row r="532">
      <c r="G532" s="28" t="s">
        <v>147</v>
      </c>
      <c r="H532" s="28" t="s">
        <v>147</v>
      </c>
      <c r="J532" s="28" t="s">
        <v>147</v>
      </c>
    </row>
    <row r="533">
      <c r="G533" s="28" t="s">
        <v>147</v>
      </c>
      <c r="H533" s="28" t="s">
        <v>147</v>
      </c>
      <c r="J533" s="28" t="s">
        <v>147</v>
      </c>
    </row>
    <row r="534">
      <c r="G534" s="28" t="s">
        <v>147</v>
      </c>
      <c r="H534" s="28" t="s">
        <v>147</v>
      </c>
      <c r="J534" s="28" t="s">
        <v>147</v>
      </c>
    </row>
    <row r="535">
      <c r="G535" s="28" t="s">
        <v>147</v>
      </c>
      <c r="H535" s="28" t="s">
        <v>147</v>
      </c>
      <c r="J535" s="28" t="s">
        <v>147</v>
      </c>
    </row>
    <row r="536">
      <c r="G536" s="28" t="s">
        <v>147</v>
      </c>
      <c r="H536" s="28" t="s">
        <v>147</v>
      </c>
      <c r="J536" s="28" t="s">
        <v>147</v>
      </c>
    </row>
    <row r="537">
      <c r="G537" s="28" t="s">
        <v>147</v>
      </c>
      <c r="H537" s="28" t="s">
        <v>147</v>
      </c>
      <c r="J537" s="28" t="s">
        <v>147</v>
      </c>
    </row>
    <row r="538">
      <c r="G538" s="28" t="s">
        <v>147</v>
      </c>
      <c r="H538" s="28" t="s">
        <v>147</v>
      </c>
      <c r="J538" s="28" t="s">
        <v>147</v>
      </c>
    </row>
    <row r="539">
      <c r="G539" s="28" t="s">
        <v>147</v>
      </c>
      <c r="H539" s="28" t="s">
        <v>147</v>
      </c>
      <c r="J539" s="28" t="s">
        <v>147</v>
      </c>
    </row>
    <row r="540">
      <c r="G540" s="28" t="s">
        <v>147</v>
      </c>
      <c r="H540" s="28" t="s">
        <v>147</v>
      </c>
      <c r="J540" s="28" t="s">
        <v>147</v>
      </c>
    </row>
    <row r="541">
      <c r="G541" s="28" t="s">
        <v>147</v>
      </c>
      <c r="H541" s="28" t="s">
        <v>147</v>
      </c>
      <c r="J541" s="28" t="s">
        <v>147</v>
      </c>
    </row>
    <row r="542">
      <c r="G542" s="28" t="s">
        <v>147</v>
      </c>
      <c r="H542" s="28" t="s">
        <v>147</v>
      </c>
      <c r="J542" s="28" t="s">
        <v>147</v>
      </c>
    </row>
    <row r="543">
      <c r="G543" s="28" t="s">
        <v>147</v>
      </c>
      <c r="H543" s="28" t="s">
        <v>147</v>
      </c>
      <c r="J543" s="28" t="s">
        <v>147</v>
      </c>
    </row>
    <row r="544">
      <c r="G544" s="28" t="s">
        <v>147</v>
      </c>
      <c r="H544" s="28" t="s">
        <v>147</v>
      </c>
      <c r="J544" s="28" t="s">
        <v>147</v>
      </c>
    </row>
    <row r="545">
      <c r="G545" s="28" t="s">
        <v>147</v>
      </c>
      <c r="H545" s="28" t="s">
        <v>147</v>
      </c>
      <c r="J545" s="28" t="s">
        <v>147</v>
      </c>
    </row>
    <row r="546">
      <c r="G546" s="28" t="s">
        <v>147</v>
      </c>
      <c r="H546" s="28" t="s">
        <v>147</v>
      </c>
      <c r="J546" s="28" t="s">
        <v>147</v>
      </c>
    </row>
    <row r="547">
      <c r="G547" s="28" t="s">
        <v>147</v>
      </c>
      <c r="H547" s="28" t="s">
        <v>147</v>
      </c>
      <c r="J547" s="28" t="s">
        <v>147</v>
      </c>
    </row>
    <row r="548">
      <c r="G548" s="28" t="s">
        <v>147</v>
      </c>
      <c r="H548" s="28" t="s">
        <v>147</v>
      </c>
      <c r="J548" s="28" t="s">
        <v>147</v>
      </c>
    </row>
    <row r="549">
      <c r="G549" s="28" t="s">
        <v>147</v>
      </c>
      <c r="H549" s="28" t="s">
        <v>147</v>
      </c>
      <c r="J549" s="28" t="s">
        <v>147</v>
      </c>
    </row>
    <row r="550">
      <c r="G550" s="28" t="s">
        <v>147</v>
      </c>
      <c r="H550" s="28" t="s">
        <v>147</v>
      </c>
      <c r="J550" s="28" t="s">
        <v>147</v>
      </c>
    </row>
    <row r="551">
      <c r="G551" s="28" t="s">
        <v>147</v>
      </c>
      <c r="H551" s="28" t="s">
        <v>147</v>
      </c>
      <c r="J551" s="28" t="s">
        <v>147</v>
      </c>
    </row>
    <row r="552">
      <c r="G552" s="28" t="s">
        <v>147</v>
      </c>
      <c r="H552" s="28" t="s">
        <v>147</v>
      </c>
      <c r="J552" s="28" t="s">
        <v>147</v>
      </c>
    </row>
    <row r="553">
      <c r="G553" s="28" t="s">
        <v>147</v>
      </c>
      <c r="H553" s="28" t="s">
        <v>147</v>
      </c>
      <c r="J553" s="28" t="s">
        <v>147</v>
      </c>
    </row>
    <row r="554">
      <c r="G554" s="28" t="s">
        <v>147</v>
      </c>
      <c r="H554" s="28" t="s">
        <v>147</v>
      </c>
      <c r="J554" s="28" t="s">
        <v>147</v>
      </c>
    </row>
    <row r="555">
      <c r="G555" s="28" t="s">
        <v>147</v>
      </c>
      <c r="H555" s="28" t="s">
        <v>147</v>
      </c>
      <c r="J555" s="28" t="s">
        <v>147</v>
      </c>
    </row>
    <row r="556">
      <c r="G556" s="28" t="s">
        <v>147</v>
      </c>
      <c r="H556" s="28" t="s">
        <v>147</v>
      </c>
      <c r="J556" s="28" t="s">
        <v>147</v>
      </c>
    </row>
    <row r="557">
      <c r="G557" s="28" t="s">
        <v>147</v>
      </c>
      <c r="H557" s="28" t="s">
        <v>147</v>
      </c>
      <c r="J557" s="28" t="s">
        <v>147</v>
      </c>
    </row>
    <row r="558">
      <c r="G558" s="28" t="s">
        <v>147</v>
      </c>
      <c r="H558" s="28" t="s">
        <v>147</v>
      </c>
      <c r="J558" s="28" t="s">
        <v>147</v>
      </c>
    </row>
    <row r="559">
      <c r="G559" s="28" t="s">
        <v>147</v>
      </c>
      <c r="H559" s="28" t="s">
        <v>147</v>
      </c>
      <c r="J559" s="28" t="s">
        <v>147</v>
      </c>
    </row>
    <row r="560">
      <c r="G560" s="28" t="s">
        <v>147</v>
      </c>
      <c r="H560" s="28" t="s">
        <v>147</v>
      </c>
      <c r="J560" s="28" t="s">
        <v>147</v>
      </c>
    </row>
    <row r="561">
      <c r="G561" s="28" t="s">
        <v>147</v>
      </c>
      <c r="H561" s="28" t="s">
        <v>147</v>
      </c>
      <c r="J561" s="28" t="s">
        <v>147</v>
      </c>
    </row>
    <row r="562">
      <c r="G562" s="28" t="s">
        <v>147</v>
      </c>
      <c r="H562" s="28" t="s">
        <v>147</v>
      </c>
      <c r="J562" s="28" t="s">
        <v>147</v>
      </c>
    </row>
    <row r="563">
      <c r="G563" s="28" t="s">
        <v>147</v>
      </c>
      <c r="H563" s="28" t="s">
        <v>147</v>
      </c>
      <c r="J563" s="28" t="s">
        <v>147</v>
      </c>
    </row>
    <row r="564">
      <c r="G564" s="28" t="s">
        <v>147</v>
      </c>
      <c r="H564" s="28" t="s">
        <v>147</v>
      </c>
      <c r="J564" s="28" t="s">
        <v>147</v>
      </c>
    </row>
    <row r="565">
      <c r="G565" s="28" t="s">
        <v>147</v>
      </c>
      <c r="H565" s="28" t="s">
        <v>147</v>
      </c>
      <c r="J565" s="28" t="s">
        <v>147</v>
      </c>
    </row>
    <row r="566">
      <c r="G566" s="28" t="s">
        <v>147</v>
      </c>
      <c r="H566" s="28" t="s">
        <v>147</v>
      </c>
      <c r="J566" s="28" t="s">
        <v>147</v>
      </c>
    </row>
    <row r="567">
      <c r="G567" s="28" t="s">
        <v>147</v>
      </c>
      <c r="H567" s="28" t="s">
        <v>147</v>
      </c>
      <c r="J567" s="28" t="s">
        <v>147</v>
      </c>
    </row>
    <row r="568">
      <c r="G568" s="28" t="s">
        <v>147</v>
      </c>
      <c r="H568" s="28" t="s">
        <v>147</v>
      </c>
      <c r="J568" s="28" t="s">
        <v>147</v>
      </c>
    </row>
    <row r="569">
      <c r="G569" s="28" t="s">
        <v>147</v>
      </c>
      <c r="H569" s="28" t="s">
        <v>147</v>
      </c>
      <c r="J569" s="28" t="s">
        <v>147</v>
      </c>
    </row>
    <row r="570">
      <c r="G570" s="28" t="s">
        <v>147</v>
      </c>
      <c r="H570" s="28" t="s">
        <v>147</v>
      </c>
      <c r="J570" s="28" t="s">
        <v>147</v>
      </c>
    </row>
    <row r="571">
      <c r="G571" s="28" t="s">
        <v>147</v>
      </c>
      <c r="H571" s="28" t="s">
        <v>147</v>
      </c>
      <c r="J571" s="28" t="s">
        <v>147</v>
      </c>
    </row>
    <row r="572">
      <c r="G572" s="28" t="s">
        <v>147</v>
      </c>
      <c r="H572" s="28" t="s">
        <v>147</v>
      </c>
      <c r="J572" s="28" t="s">
        <v>147</v>
      </c>
    </row>
    <row r="573">
      <c r="G573" s="28" t="s">
        <v>147</v>
      </c>
      <c r="H573" s="28" t="s">
        <v>147</v>
      </c>
      <c r="J573" s="28" t="s">
        <v>147</v>
      </c>
    </row>
    <row r="574">
      <c r="G574" s="28" t="s">
        <v>147</v>
      </c>
      <c r="H574" s="28" t="s">
        <v>147</v>
      </c>
      <c r="J574" s="28" t="s">
        <v>147</v>
      </c>
    </row>
    <row r="575">
      <c r="G575" s="28" t="s">
        <v>147</v>
      </c>
      <c r="H575" s="28" t="s">
        <v>147</v>
      </c>
      <c r="J575" s="28" t="s">
        <v>147</v>
      </c>
    </row>
    <row r="576">
      <c r="G576" s="28" t="s">
        <v>147</v>
      </c>
      <c r="H576" s="28" t="s">
        <v>147</v>
      </c>
      <c r="J576" s="28" t="s">
        <v>147</v>
      </c>
    </row>
    <row r="577">
      <c r="G577" s="28" t="s">
        <v>147</v>
      </c>
      <c r="H577" s="28" t="s">
        <v>147</v>
      </c>
      <c r="J577" s="28" t="s">
        <v>147</v>
      </c>
    </row>
    <row r="578">
      <c r="G578" s="28" t="s">
        <v>147</v>
      </c>
      <c r="H578" s="28" t="s">
        <v>147</v>
      </c>
      <c r="J578" s="28" t="s">
        <v>147</v>
      </c>
    </row>
    <row r="579">
      <c r="G579" s="28" t="s">
        <v>147</v>
      </c>
      <c r="H579" s="28" t="s">
        <v>147</v>
      </c>
      <c r="J579" s="28" t="s">
        <v>147</v>
      </c>
    </row>
    <row r="580">
      <c r="G580" s="28" t="s">
        <v>147</v>
      </c>
      <c r="H580" s="28" t="s">
        <v>147</v>
      </c>
      <c r="J580" s="28" t="s">
        <v>147</v>
      </c>
    </row>
    <row r="581">
      <c r="G581" s="28" t="s">
        <v>147</v>
      </c>
      <c r="H581" s="28" t="s">
        <v>147</v>
      </c>
      <c r="J581" s="28" t="s">
        <v>147</v>
      </c>
    </row>
    <row r="582">
      <c r="G582" s="28" t="s">
        <v>147</v>
      </c>
      <c r="H582" s="28" t="s">
        <v>147</v>
      </c>
      <c r="J582" s="28" t="s">
        <v>147</v>
      </c>
    </row>
    <row r="583">
      <c r="G583" s="28" t="s">
        <v>147</v>
      </c>
      <c r="H583" s="28" t="s">
        <v>147</v>
      </c>
      <c r="J583" s="28" t="s">
        <v>147</v>
      </c>
    </row>
    <row r="584">
      <c r="G584" s="28" t="s">
        <v>147</v>
      </c>
      <c r="H584" s="28" t="s">
        <v>147</v>
      </c>
      <c r="J584" s="28" t="s">
        <v>147</v>
      </c>
    </row>
    <row r="585">
      <c r="G585" s="28" t="s">
        <v>147</v>
      </c>
      <c r="H585" s="28" t="s">
        <v>147</v>
      </c>
      <c r="J585" s="28" t="s">
        <v>147</v>
      </c>
    </row>
    <row r="586">
      <c r="G586" s="28" t="s">
        <v>147</v>
      </c>
      <c r="H586" s="28" t="s">
        <v>147</v>
      </c>
      <c r="J586" s="28" t="s">
        <v>147</v>
      </c>
    </row>
    <row r="587">
      <c r="G587" s="28" t="s">
        <v>147</v>
      </c>
      <c r="H587" s="28" t="s">
        <v>147</v>
      </c>
      <c r="J587" s="28" t="s">
        <v>147</v>
      </c>
    </row>
    <row r="588">
      <c r="G588" s="28" t="s">
        <v>147</v>
      </c>
      <c r="H588" s="28" t="s">
        <v>147</v>
      </c>
      <c r="J588" s="28" t="s">
        <v>147</v>
      </c>
    </row>
    <row r="589">
      <c r="G589" s="28" t="s">
        <v>147</v>
      </c>
      <c r="H589" s="28" t="s">
        <v>147</v>
      </c>
      <c r="J589" s="28" t="s">
        <v>147</v>
      </c>
    </row>
    <row r="590">
      <c r="G590" s="28" t="s">
        <v>147</v>
      </c>
      <c r="H590" s="28" t="s">
        <v>147</v>
      </c>
      <c r="J590" s="28" t="s">
        <v>147</v>
      </c>
    </row>
    <row r="591">
      <c r="G591" s="28" t="s">
        <v>147</v>
      </c>
      <c r="H591" s="28" t="s">
        <v>147</v>
      </c>
      <c r="J591" s="28" t="s">
        <v>147</v>
      </c>
    </row>
    <row r="592">
      <c r="G592" s="28" t="s">
        <v>147</v>
      </c>
      <c r="H592" s="28" t="s">
        <v>147</v>
      </c>
      <c r="J592" s="28" t="s">
        <v>147</v>
      </c>
    </row>
    <row r="593">
      <c r="G593" s="28" t="s">
        <v>147</v>
      </c>
      <c r="H593" s="28" t="s">
        <v>147</v>
      </c>
      <c r="J593" s="28" t="s">
        <v>147</v>
      </c>
    </row>
    <row r="594">
      <c r="G594" s="28" t="s">
        <v>147</v>
      </c>
      <c r="H594" s="28" t="s">
        <v>147</v>
      </c>
      <c r="J594" s="28" t="s">
        <v>147</v>
      </c>
    </row>
    <row r="595">
      <c r="G595" s="28" t="s">
        <v>147</v>
      </c>
      <c r="H595" s="28" t="s">
        <v>147</v>
      </c>
      <c r="J595" s="28" t="s">
        <v>147</v>
      </c>
    </row>
    <row r="596">
      <c r="G596" s="28" t="s">
        <v>147</v>
      </c>
      <c r="H596" s="28" t="s">
        <v>147</v>
      </c>
      <c r="J596" s="28" t="s">
        <v>147</v>
      </c>
    </row>
    <row r="597">
      <c r="G597" s="28" t="s">
        <v>147</v>
      </c>
      <c r="H597" s="28" t="s">
        <v>147</v>
      </c>
      <c r="J597" s="28" t="s">
        <v>147</v>
      </c>
    </row>
    <row r="598">
      <c r="G598" s="28" t="s">
        <v>147</v>
      </c>
      <c r="H598" s="28" t="s">
        <v>147</v>
      </c>
      <c r="J598" s="28" t="s">
        <v>147</v>
      </c>
    </row>
    <row r="599">
      <c r="G599" s="28" t="s">
        <v>147</v>
      </c>
      <c r="H599" s="28" t="s">
        <v>147</v>
      </c>
      <c r="J599" s="28" t="s">
        <v>147</v>
      </c>
    </row>
    <row r="600">
      <c r="G600" s="28" t="s">
        <v>147</v>
      </c>
      <c r="H600" s="28" t="s">
        <v>147</v>
      </c>
      <c r="J600" s="28" t="s">
        <v>147</v>
      </c>
    </row>
    <row r="601">
      <c r="G601" s="28" t="s">
        <v>147</v>
      </c>
      <c r="H601" s="28" t="s">
        <v>147</v>
      </c>
      <c r="J601" s="28" t="s">
        <v>147</v>
      </c>
    </row>
    <row r="602">
      <c r="G602" s="28" t="s">
        <v>147</v>
      </c>
      <c r="H602" s="28" t="s">
        <v>147</v>
      </c>
      <c r="J602" s="28" t="s">
        <v>147</v>
      </c>
    </row>
    <row r="603">
      <c r="G603" s="28" t="s">
        <v>147</v>
      </c>
      <c r="H603" s="28" t="s">
        <v>147</v>
      </c>
      <c r="J603" s="28" t="s">
        <v>147</v>
      </c>
    </row>
    <row r="604">
      <c r="G604" s="28" t="s">
        <v>147</v>
      </c>
      <c r="H604" s="28" t="s">
        <v>147</v>
      </c>
      <c r="J604" s="28" t="s">
        <v>147</v>
      </c>
    </row>
    <row r="605">
      <c r="G605" s="28" t="s">
        <v>147</v>
      </c>
      <c r="H605" s="28" t="s">
        <v>147</v>
      </c>
      <c r="J605" s="28" t="s">
        <v>147</v>
      </c>
    </row>
    <row r="606">
      <c r="G606" s="28" t="s">
        <v>147</v>
      </c>
      <c r="H606" s="28" t="s">
        <v>147</v>
      </c>
      <c r="J606" s="28" t="s">
        <v>147</v>
      </c>
    </row>
    <row r="607">
      <c r="G607" s="28" t="s">
        <v>147</v>
      </c>
      <c r="H607" s="28" t="s">
        <v>147</v>
      </c>
      <c r="J607" s="28" t="s">
        <v>147</v>
      </c>
    </row>
    <row r="608">
      <c r="G608" s="28" t="s">
        <v>147</v>
      </c>
      <c r="H608" s="28" t="s">
        <v>147</v>
      </c>
      <c r="J608" s="28" t="s">
        <v>147</v>
      </c>
    </row>
    <row r="609">
      <c r="G609" s="28" t="s">
        <v>147</v>
      </c>
      <c r="H609" s="28" t="s">
        <v>147</v>
      </c>
      <c r="J609" s="28" t="s">
        <v>147</v>
      </c>
    </row>
    <row r="610">
      <c r="G610" s="28" t="s">
        <v>147</v>
      </c>
      <c r="H610" s="28" t="s">
        <v>147</v>
      </c>
      <c r="J610" s="28" t="s">
        <v>147</v>
      </c>
    </row>
    <row r="611">
      <c r="G611" s="28" t="s">
        <v>147</v>
      </c>
      <c r="H611" s="28" t="s">
        <v>147</v>
      </c>
      <c r="J611" s="28" t="s">
        <v>147</v>
      </c>
    </row>
    <row r="612">
      <c r="G612" s="28" t="s">
        <v>147</v>
      </c>
      <c r="H612" s="28" t="s">
        <v>147</v>
      </c>
      <c r="J612" s="28" t="s">
        <v>147</v>
      </c>
    </row>
    <row r="613">
      <c r="G613" s="28" t="s">
        <v>147</v>
      </c>
      <c r="H613" s="28" t="s">
        <v>147</v>
      </c>
      <c r="J613" s="28" t="s">
        <v>147</v>
      </c>
    </row>
    <row r="614">
      <c r="G614" s="28" t="s">
        <v>147</v>
      </c>
      <c r="H614" s="28" t="s">
        <v>147</v>
      </c>
      <c r="J614" s="28" t="s">
        <v>147</v>
      </c>
    </row>
    <row r="615">
      <c r="G615" s="28" t="s">
        <v>147</v>
      </c>
      <c r="H615" s="28" t="s">
        <v>147</v>
      </c>
      <c r="J615" s="28" t="s">
        <v>147</v>
      </c>
    </row>
    <row r="616">
      <c r="G616" s="28" t="s">
        <v>147</v>
      </c>
      <c r="H616" s="28" t="s">
        <v>147</v>
      </c>
      <c r="J616" s="28" t="s">
        <v>147</v>
      </c>
    </row>
    <row r="617">
      <c r="G617" s="28" t="s">
        <v>147</v>
      </c>
      <c r="H617" s="28" t="s">
        <v>147</v>
      </c>
      <c r="J617" s="28" t="s">
        <v>147</v>
      </c>
    </row>
    <row r="618">
      <c r="G618" s="28" t="s">
        <v>147</v>
      </c>
      <c r="H618" s="28" t="s">
        <v>147</v>
      </c>
      <c r="J618" s="28" t="s">
        <v>147</v>
      </c>
    </row>
    <row r="619">
      <c r="G619" s="28" t="s">
        <v>147</v>
      </c>
      <c r="H619" s="28" t="s">
        <v>147</v>
      </c>
      <c r="J619" s="28" t="s">
        <v>147</v>
      </c>
    </row>
    <row r="620">
      <c r="G620" s="28" t="s">
        <v>147</v>
      </c>
      <c r="H620" s="28" t="s">
        <v>147</v>
      </c>
      <c r="J620" s="28" t="s">
        <v>147</v>
      </c>
    </row>
    <row r="621">
      <c r="G621" s="28" t="s">
        <v>147</v>
      </c>
      <c r="H621" s="28" t="s">
        <v>147</v>
      </c>
      <c r="J621" s="28" t="s">
        <v>147</v>
      </c>
    </row>
    <row r="622">
      <c r="G622" s="28" t="s">
        <v>147</v>
      </c>
      <c r="H622" s="28" t="s">
        <v>147</v>
      </c>
      <c r="J622" s="28" t="s">
        <v>147</v>
      </c>
    </row>
    <row r="623">
      <c r="G623" s="28" t="s">
        <v>147</v>
      </c>
      <c r="H623" s="28" t="s">
        <v>147</v>
      </c>
      <c r="J623" s="28" t="s">
        <v>147</v>
      </c>
    </row>
    <row r="624">
      <c r="G624" s="28" t="s">
        <v>147</v>
      </c>
      <c r="H624" s="28" t="s">
        <v>147</v>
      </c>
      <c r="J624" s="28" t="s">
        <v>147</v>
      </c>
    </row>
    <row r="625">
      <c r="G625" s="28" t="s">
        <v>147</v>
      </c>
      <c r="H625" s="28" t="s">
        <v>147</v>
      </c>
      <c r="J625" s="28" t="s">
        <v>147</v>
      </c>
    </row>
    <row r="626">
      <c r="G626" s="28" t="s">
        <v>147</v>
      </c>
      <c r="H626" s="28" t="s">
        <v>147</v>
      </c>
      <c r="J626" s="28" t="s">
        <v>147</v>
      </c>
    </row>
    <row r="627">
      <c r="G627" s="28" t="s">
        <v>147</v>
      </c>
      <c r="H627" s="28" t="s">
        <v>147</v>
      </c>
      <c r="J627" s="28" t="s">
        <v>147</v>
      </c>
    </row>
    <row r="628">
      <c r="G628" s="28" t="s">
        <v>147</v>
      </c>
      <c r="H628" s="28" t="s">
        <v>147</v>
      </c>
      <c r="J628" s="28" t="s">
        <v>147</v>
      </c>
    </row>
    <row r="629">
      <c r="G629" s="28" t="s">
        <v>147</v>
      </c>
      <c r="H629" s="28" t="s">
        <v>147</v>
      </c>
      <c r="J629" s="28" t="s">
        <v>147</v>
      </c>
    </row>
    <row r="630">
      <c r="G630" s="28" t="s">
        <v>147</v>
      </c>
      <c r="H630" s="28" t="s">
        <v>147</v>
      </c>
      <c r="J630" s="28" t="s">
        <v>147</v>
      </c>
    </row>
    <row r="631">
      <c r="G631" s="28" t="s">
        <v>147</v>
      </c>
      <c r="H631" s="28" t="s">
        <v>147</v>
      </c>
      <c r="J631" s="28" t="s">
        <v>147</v>
      </c>
    </row>
    <row r="632">
      <c r="G632" s="28" t="s">
        <v>147</v>
      </c>
      <c r="H632" s="28" t="s">
        <v>147</v>
      </c>
      <c r="J632" s="28" t="s">
        <v>147</v>
      </c>
    </row>
    <row r="633">
      <c r="G633" s="28" t="s">
        <v>147</v>
      </c>
      <c r="H633" s="28" t="s">
        <v>147</v>
      </c>
      <c r="J633" s="28" t="s">
        <v>147</v>
      </c>
    </row>
    <row r="634">
      <c r="G634" s="28" t="s">
        <v>147</v>
      </c>
      <c r="H634" s="28" t="s">
        <v>147</v>
      </c>
      <c r="J634" s="28" t="s">
        <v>147</v>
      </c>
    </row>
    <row r="635">
      <c r="G635" s="28" t="s">
        <v>147</v>
      </c>
      <c r="H635" s="28" t="s">
        <v>147</v>
      </c>
      <c r="J635" s="28" t="s">
        <v>147</v>
      </c>
    </row>
    <row r="636">
      <c r="G636" s="28" t="s">
        <v>147</v>
      </c>
      <c r="H636" s="28" t="s">
        <v>147</v>
      </c>
      <c r="J636" s="28" t="s">
        <v>147</v>
      </c>
    </row>
    <row r="637">
      <c r="G637" s="28" t="s">
        <v>147</v>
      </c>
      <c r="H637" s="28" t="s">
        <v>147</v>
      </c>
      <c r="J637" s="28" t="s">
        <v>147</v>
      </c>
    </row>
    <row r="638">
      <c r="G638" s="28" t="s">
        <v>147</v>
      </c>
      <c r="H638" s="28" t="s">
        <v>147</v>
      </c>
      <c r="J638" s="28" t="s">
        <v>147</v>
      </c>
    </row>
    <row r="639">
      <c r="G639" s="28" t="s">
        <v>147</v>
      </c>
      <c r="H639" s="28" t="s">
        <v>147</v>
      </c>
      <c r="J639" s="28" t="s">
        <v>147</v>
      </c>
    </row>
    <row r="640">
      <c r="G640" s="28" t="s">
        <v>147</v>
      </c>
      <c r="H640" s="28" t="s">
        <v>147</v>
      </c>
      <c r="J640" s="28" t="s">
        <v>147</v>
      </c>
    </row>
    <row r="641">
      <c r="G641" s="28" t="s">
        <v>147</v>
      </c>
      <c r="H641" s="28" t="s">
        <v>147</v>
      </c>
      <c r="J641" s="28" t="s">
        <v>147</v>
      </c>
    </row>
    <row r="642">
      <c r="G642" s="28" t="s">
        <v>147</v>
      </c>
      <c r="H642" s="28" t="s">
        <v>147</v>
      </c>
      <c r="J642" s="28" t="s">
        <v>147</v>
      </c>
    </row>
    <row r="643">
      <c r="G643" s="28" t="s">
        <v>147</v>
      </c>
      <c r="H643" s="28" t="s">
        <v>147</v>
      </c>
      <c r="J643" s="28" t="s">
        <v>147</v>
      </c>
    </row>
    <row r="644">
      <c r="G644" s="28" t="s">
        <v>147</v>
      </c>
      <c r="H644" s="28" t="s">
        <v>147</v>
      </c>
      <c r="J644" s="28" t="s">
        <v>147</v>
      </c>
    </row>
    <row r="645">
      <c r="G645" s="28" t="s">
        <v>147</v>
      </c>
      <c r="H645" s="28" t="s">
        <v>147</v>
      </c>
      <c r="J645" s="28" t="s">
        <v>147</v>
      </c>
    </row>
    <row r="646">
      <c r="G646" s="28" t="s">
        <v>147</v>
      </c>
      <c r="H646" s="28" t="s">
        <v>147</v>
      </c>
      <c r="J646" s="28" t="s">
        <v>147</v>
      </c>
    </row>
    <row r="647">
      <c r="G647" s="28" t="s">
        <v>147</v>
      </c>
      <c r="H647" s="28" t="s">
        <v>147</v>
      </c>
      <c r="J647" s="28" t="s">
        <v>147</v>
      </c>
    </row>
    <row r="648">
      <c r="G648" s="28" t="s">
        <v>147</v>
      </c>
      <c r="H648" s="28" t="s">
        <v>147</v>
      </c>
      <c r="J648" s="28" t="s">
        <v>147</v>
      </c>
    </row>
    <row r="649">
      <c r="G649" s="28" t="s">
        <v>147</v>
      </c>
      <c r="H649" s="28" t="s">
        <v>147</v>
      </c>
      <c r="J649" s="28" t="s">
        <v>147</v>
      </c>
    </row>
    <row r="650">
      <c r="G650" s="28" t="s">
        <v>147</v>
      </c>
      <c r="H650" s="28" t="s">
        <v>147</v>
      </c>
      <c r="J650" s="28" t="s">
        <v>147</v>
      </c>
    </row>
    <row r="651">
      <c r="G651" s="28" t="s">
        <v>147</v>
      </c>
      <c r="H651" s="28" t="s">
        <v>147</v>
      </c>
      <c r="J651" s="28" t="s">
        <v>147</v>
      </c>
    </row>
    <row r="652">
      <c r="G652" s="28" t="s">
        <v>147</v>
      </c>
      <c r="H652" s="28" t="s">
        <v>147</v>
      </c>
      <c r="J652" s="28" t="s">
        <v>147</v>
      </c>
    </row>
    <row r="653">
      <c r="G653" s="28" t="s">
        <v>147</v>
      </c>
      <c r="H653" s="28" t="s">
        <v>147</v>
      </c>
      <c r="J653" s="28" t="s">
        <v>147</v>
      </c>
    </row>
    <row r="654">
      <c r="G654" s="28" t="s">
        <v>147</v>
      </c>
      <c r="H654" s="28" t="s">
        <v>147</v>
      </c>
      <c r="J654" s="28" t="s">
        <v>147</v>
      </c>
    </row>
    <row r="655">
      <c r="G655" s="28" t="s">
        <v>147</v>
      </c>
      <c r="H655" s="28" t="s">
        <v>147</v>
      </c>
      <c r="J655" s="28" t="s">
        <v>147</v>
      </c>
    </row>
    <row r="656">
      <c r="G656" s="28" t="s">
        <v>147</v>
      </c>
      <c r="H656" s="28" t="s">
        <v>147</v>
      </c>
      <c r="J656" s="28" t="s">
        <v>147</v>
      </c>
    </row>
    <row r="657">
      <c r="G657" s="28" t="s">
        <v>147</v>
      </c>
      <c r="H657" s="28" t="s">
        <v>147</v>
      </c>
      <c r="J657" s="28" t="s">
        <v>147</v>
      </c>
    </row>
    <row r="658">
      <c r="G658" s="28" t="s">
        <v>147</v>
      </c>
      <c r="H658" s="28" t="s">
        <v>147</v>
      </c>
      <c r="J658" s="28" t="s">
        <v>147</v>
      </c>
    </row>
    <row r="659">
      <c r="G659" s="28" t="s">
        <v>147</v>
      </c>
      <c r="H659" s="28" t="s">
        <v>147</v>
      </c>
      <c r="J659" s="28" t="s">
        <v>147</v>
      </c>
    </row>
    <row r="660">
      <c r="G660" s="28" t="s">
        <v>147</v>
      </c>
      <c r="H660" s="28" t="s">
        <v>147</v>
      </c>
      <c r="J660" s="28" t="s">
        <v>147</v>
      </c>
    </row>
    <row r="661">
      <c r="G661" s="28" t="s">
        <v>147</v>
      </c>
      <c r="H661" s="28" t="s">
        <v>147</v>
      </c>
      <c r="J661" s="28" t="s">
        <v>147</v>
      </c>
    </row>
    <row r="662">
      <c r="G662" s="28" t="s">
        <v>147</v>
      </c>
      <c r="H662" s="28" t="s">
        <v>147</v>
      </c>
      <c r="J662" s="28" t="s">
        <v>147</v>
      </c>
    </row>
    <row r="663">
      <c r="G663" s="28" t="s">
        <v>147</v>
      </c>
      <c r="H663" s="28" t="s">
        <v>147</v>
      </c>
      <c r="J663" s="28" t="s">
        <v>147</v>
      </c>
    </row>
    <row r="664">
      <c r="G664" s="28" t="s">
        <v>147</v>
      </c>
      <c r="H664" s="28" t="s">
        <v>147</v>
      </c>
      <c r="J664" s="28" t="s">
        <v>147</v>
      </c>
    </row>
    <row r="665">
      <c r="G665" s="28" t="s">
        <v>147</v>
      </c>
      <c r="H665" s="28" t="s">
        <v>147</v>
      </c>
      <c r="J665" s="28" t="s">
        <v>147</v>
      </c>
    </row>
    <row r="666">
      <c r="G666" s="28" t="s">
        <v>147</v>
      </c>
      <c r="H666" s="28" t="s">
        <v>147</v>
      </c>
      <c r="J666" s="28" t="s">
        <v>147</v>
      </c>
    </row>
    <row r="667">
      <c r="G667" s="28" t="s">
        <v>147</v>
      </c>
      <c r="H667" s="28" t="s">
        <v>147</v>
      </c>
      <c r="J667" s="28" t="s">
        <v>147</v>
      </c>
    </row>
    <row r="668">
      <c r="G668" s="28" t="s">
        <v>147</v>
      </c>
      <c r="H668" s="28" t="s">
        <v>147</v>
      </c>
      <c r="J668" s="28" t="s">
        <v>147</v>
      </c>
    </row>
    <row r="669">
      <c r="G669" s="28" t="s">
        <v>147</v>
      </c>
      <c r="H669" s="28" t="s">
        <v>147</v>
      </c>
      <c r="J669" s="28" t="s">
        <v>147</v>
      </c>
    </row>
    <row r="670">
      <c r="G670" s="28" t="s">
        <v>147</v>
      </c>
      <c r="H670" s="28" t="s">
        <v>147</v>
      </c>
      <c r="J670" s="28" t="s">
        <v>147</v>
      </c>
    </row>
    <row r="671">
      <c r="G671" s="28" t="s">
        <v>147</v>
      </c>
      <c r="H671" s="28" t="s">
        <v>147</v>
      </c>
      <c r="J671" s="28" t="s">
        <v>147</v>
      </c>
    </row>
    <row r="672">
      <c r="G672" s="28" t="s">
        <v>147</v>
      </c>
      <c r="H672" s="28" t="s">
        <v>147</v>
      </c>
      <c r="J672" s="28" t="s">
        <v>147</v>
      </c>
    </row>
    <row r="673">
      <c r="G673" s="28" t="s">
        <v>147</v>
      </c>
      <c r="H673" s="28" t="s">
        <v>147</v>
      </c>
      <c r="J673" s="28" t="s">
        <v>147</v>
      </c>
    </row>
    <row r="674">
      <c r="G674" s="28" t="s">
        <v>147</v>
      </c>
      <c r="H674" s="28" t="s">
        <v>147</v>
      </c>
      <c r="J674" s="28" t="s">
        <v>147</v>
      </c>
    </row>
    <row r="675">
      <c r="G675" s="28" t="s">
        <v>147</v>
      </c>
      <c r="H675" s="28" t="s">
        <v>147</v>
      </c>
      <c r="J675" s="28" t="s">
        <v>147</v>
      </c>
    </row>
    <row r="676">
      <c r="G676" s="28" t="s">
        <v>147</v>
      </c>
      <c r="H676" s="28" t="s">
        <v>147</v>
      </c>
      <c r="J676" s="28" t="s">
        <v>147</v>
      </c>
    </row>
    <row r="677">
      <c r="G677" s="28" t="s">
        <v>147</v>
      </c>
      <c r="H677" s="28" t="s">
        <v>147</v>
      </c>
      <c r="J677" s="28" t="s">
        <v>147</v>
      </c>
    </row>
    <row r="678">
      <c r="G678" s="28" t="s">
        <v>147</v>
      </c>
      <c r="H678" s="28" t="s">
        <v>147</v>
      </c>
      <c r="J678" s="28" t="s">
        <v>147</v>
      </c>
    </row>
    <row r="679">
      <c r="G679" s="28" t="s">
        <v>147</v>
      </c>
      <c r="H679" s="28" t="s">
        <v>147</v>
      </c>
      <c r="J679" s="28" t="s">
        <v>147</v>
      </c>
    </row>
    <row r="680">
      <c r="G680" s="28" t="s">
        <v>147</v>
      </c>
      <c r="H680" s="28" t="s">
        <v>147</v>
      </c>
      <c r="J680" s="28" t="s">
        <v>147</v>
      </c>
    </row>
    <row r="681">
      <c r="G681" s="28" t="s">
        <v>147</v>
      </c>
      <c r="H681" s="28" t="s">
        <v>147</v>
      </c>
      <c r="J681" s="28" t="s">
        <v>147</v>
      </c>
    </row>
    <row r="682">
      <c r="G682" s="28" t="s">
        <v>147</v>
      </c>
      <c r="H682" s="28" t="s">
        <v>147</v>
      </c>
      <c r="J682" s="28" t="s">
        <v>147</v>
      </c>
    </row>
    <row r="683">
      <c r="G683" s="28" t="s">
        <v>147</v>
      </c>
      <c r="H683" s="28" t="s">
        <v>147</v>
      </c>
      <c r="J683" s="28" t="s">
        <v>147</v>
      </c>
    </row>
    <row r="684">
      <c r="G684" s="28" t="s">
        <v>147</v>
      </c>
      <c r="H684" s="28" t="s">
        <v>147</v>
      </c>
      <c r="J684" s="28" t="s">
        <v>147</v>
      </c>
    </row>
    <row r="685">
      <c r="G685" s="28" t="s">
        <v>147</v>
      </c>
      <c r="H685" s="28" t="s">
        <v>147</v>
      </c>
      <c r="J685" s="28" t="s">
        <v>147</v>
      </c>
    </row>
    <row r="686">
      <c r="G686" s="28" t="s">
        <v>147</v>
      </c>
      <c r="H686" s="28" t="s">
        <v>147</v>
      </c>
      <c r="J686" s="28" t="s">
        <v>147</v>
      </c>
    </row>
    <row r="687">
      <c r="G687" s="28" t="s">
        <v>147</v>
      </c>
      <c r="H687" s="28" t="s">
        <v>147</v>
      </c>
      <c r="J687" s="28" t="s">
        <v>147</v>
      </c>
    </row>
    <row r="688">
      <c r="G688" s="28" t="s">
        <v>147</v>
      </c>
      <c r="H688" s="28" t="s">
        <v>147</v>
      </c>
      <c r="J688" s="28" t="s">
        <v>147</v>
      </c>
    </row>
    <row r="689">
      <c r="G689" s="28" t="s">
        <v>147</v>
      </c>
      <c r="H689" s="28" t="s">
        <v>147</v>
      </c>
      <c r="J689" s="28" t="s">
        <v>147</v>
      </c>
    </row>
    <row r="690">
      <c r="G690" s="28" t="s">
        <v>147</v>
      </c>
      <c r="H690" s="28" t="s">
        <v>147</v>
      </c>
      <c r="J690" s="28" t="s">
        <v>147</v>
      </c>
    </row>
    <row r="691">
      <c r="G691" s="28" t="s">
        <v>147</v>
      </c>
      <c r="H691" s="28" t="s">
        <v>147</v>
      </c>
      <c r="J691" s="28" t="s">
        <v>147</v>
      </c>
    </row>
    <row r="692">
      <c r="G692" s="28" t="s">
        <v>147</v>
      </c>
      <c r="H692" s="28" t="s">
        <v>147</v>
      </c>
      <c r="J692" s="28" t="s">
        <v>147</v>
      </c>
    </row>
    <row r="693">
      <c r="G693" s="28" t="s">
        <v>147</v>
      </c>
      <c r="H693" s="28" t="s">
        <v>147</v>
      </c>
      <c r="J693" s="28" t="s">
        <v>147</v>
      </c>
    </row>
    <row r="694">
      <c r="G694" s="28" t="s">
        <v>147</v>
      </c>
      <c r="H694" s="28" t="s">
        <v>147</v>
      </c>
      <c r="J694" s="28" t="s">
        <v>147</v>
      </c>
    </row>
    <row r="695">
      <c r="G695" s="28" t="s">
        <v>147</v>
      </c>
      <c r="H695" s="28" t="s">
        <v>147</v>
      </c>
      <c r="J695" s="28" t="s">
        <v>147</v>
      </c>
    </row>
    <row r="696">
      <c r="G696" s="28" t="s">
        <v>147</v>
      </c>
      <c r="H696" s="28" t="s">
        <v>147</v>
      </c>
      <c r="J696" s="28" t="s">
        <v>147</v>
      </c>
    </row>
    <row r="697">
      <c r="G697" s="28" t="s">
        <v>147</v>
      </c>
      <c r="H697" s="28" t="s">
        <v>147</v>
      </c>
      <c r="J697" s="28" t="s">
        <v>147</v>
      </c>
    </row>
    <row r="698">
      <c r="G698" s="28" t="s">
        <v>147</v>
      </c>
      <c r="H698" s="28" t="s">
        <v>147</v>
      </c>
      <c r="J698" s="28" t="s">
        <v>147</v>
      </c>
    </row>
    <row r="699">
      <c r="G699" s="28" t="s">
        <v>147</v>
      </c>
      <c r="H699" s="28" t="s">
        <v>147</v>
      </c>
      <c r="J699" s="28" t="s">
        <v>147</v>
      </c>
    </row>
    <row r="700">
      <c r="G700" s="28" t="s">
        <v>147</v>
      </c>
      <c r="H700" s="28" t="s">
        <v>147</v>
      </c>
      <c r="J700" s="28" t="s">
        <v>147</v>
      </c>
    </row>
    <row r="701">
      <c r="G701" s="28" t="s">
        <v>147</v>
      </c>
      <c r="H701" s="28" t="s">
        <v>147</v>
      </c>
      <c r="J701" s="28" t="s">
        <v>147</v>
      </c>
    </row>
    <row r="702">
      <c r="G702" s="28" t="s">
        <v>147</v>
      </c>
      <c r="H702" s="28" t="s">
        <v>147</v>
      </c>
      <c r="J702" s="28" t="s">
        <v>147</v>
      </c>
    </row>
    <row r="703">
      <c r="G703" s="28" t="s">
        <v>147</v>
      </c>
      <c r="H703" s="28" t="s">
        <v>147</v>
      </c>
      <c r="J703" s="28" t="s">
        <v>147</v>
      </c>
    </row>
    <row r="704">
      <c r="G704" s="28" t="s">
        <v>147</v>
      </c>
      <c r="H704" s="28" t="s">
        <v>147</v>
      </c>
      <c r="J704" s="28" t="s">
        <v>147</v>
      </c>
    </row>
    <row r="705">
      <c r="G705" s="28" t="s">
        <v>147</v>
      </c>
      <c r="H705" s="28" t="s">
        <v>147</v>
      </c>
      <c r="J705" s="28" t="s">
        <v>147</v>
      </c>
    </row>
    <row r="706">
      <c r="G706" s="28" t="s">
        <v>147</v>
      </c>
      <c r="H706" s="28" t="s">
        <v>147</v>
      </c>
      <c r="J706" s="28" t="s">
        <v>147</v>
      </c>
    </row>
    <row r="707">
      <c r="G707" s="28" t="s">
        <v>147</v>
      </c>
      <c r="H707" s="28" t="s">
        <v>147</v>
      </c>
      <c r="J707" s="28" t="s">
        <v>147</v>
      </c>
    </row>
    <row r="708">
      <c r="G708" s="28" t="s">
        <v>147</v>
      </c>
      <c r="H708" s="28" t="s">
        <v>147</v>
      </c>
      <c r="J708" s="28" t="s">
        <v>147</v>
      </c>
    </row>
    <row r="709">
      <c r="G709" s="28" t="s">
        <v>147</v>
      </c>
      <c r="H709" s="28" t="s">
        <v>147</v>
      </c>
      <c r="J709" s="28" t="s">
        <v>147</v>
      </c>
    </row>
    <row r="710">
      <c r="G710" s="28" t="s">
        <v>147</v>
      </c>
      <c r="H710" s="28" t="s">
        <v>147</v>
      </c>
      <c r="J710" s="28" t="s">
        <v>147</v>
      </c>
    </row>
    <row r="711">
      <c r="G711" s="28" t="s">
        <v>147</v>
      </c>
      <c r="H711" s="28" t="s">
        <v>147</v>
      </c>
      <c r="J711" s="28" t="s">
        <v>147</v>
      </c>
    </row>
    <row r="712">
      <c r="G712" s="28" t="s">
        <v>147</v>
      </c>
      <c r="H712" s="28" t="s">
        <v>147</v>
      </c>
      <c r="J712" s="28" t="s">
        <v>147</v>
      </c>
    </row>
    <row r="713">
      <c r="G713" s="28" t="s">
        <v>147</v>
      </c>
      <c r="H713" s="28" t="s">
        <v>147</v>
      </c>
      <c r="J713" s="28" t="s">
        <v>147</v>
      </c>
    </row>
    <row r="714">
      <c r="G714" s="28" t="s">
        <v>147</v>
      </c>
      <c r="H714" s="28" t="s">
        <v>147</v>
      </c>
      <c r="J714" s="28" t="s">
        <v>147</v>
      </c>
    </row>
    <row r="715">
      <c r="G715" s="28" t="s">
        <v>147</v>
      </c>
      <c r="H715" s="28" t="s">
        <v>147</v>
      </c>
      <c r="J715" s="28" t="s">
        <v>147</v>
      </c>
    </row>
    <row r="716">
      <c r="G716" s="28" t="s">
        <v>147</v>
      </c>
      <c r="H716" s="28" t="s">
        <v>147</v>
      </c>
      <c r="J716" s="28" t="s">
        <v>147</v>
      </c>
    </row>
    <row r="717">
      <c r="G717" s="28" t="s">
        <v>147</v>
      </c>
      <c r="H717" s="28" t="s">
        <v>147</v>
      </c>
      <c r="J717" s="28" t="s">
        <v>147</v>
      </c>
    </row>
    <row r="718">
      <c r="G718" s="28" t="s">
        <v>147</v>
      </c>
      <c r="H718" s="28" t="s">
        <v>147</v>
      </c>
      <c r="J718" s="28" t="s">
        <v>147</v>
      </c>
    </row>
    <row r="719">
      <c r="G719" s="28" t="s">
        <v>147</v>
      </c>
      <c r="H719" s="28" t="s">
        <v>147</v>
      </c>
      <c r="J719" s="28" t="s">
        <v>147</v>
      </c>
    </row>
    <row r="720">
      <c r="G720" s="28" t="s">
        <v>147</v>
      </c>
      <c r="H720" s="28" t="s">
        <v>147</v>
      </c>
      <c r="J720" s="28" t="s">
        <v>147</v>
      </c>
    </row>
    <row r="721">
      <c r="G721" s="28" t="s">
        <v>147</v>
      </c>
      <c r="H721" s="28" t="s">
        <v>147</v>
      </c>
      <c r="J721" s="28" t="s">
        <v>147</v>
      </c>
    </row>
    <row r="722">
      <c r="G722" s="28" t="s">
        <v>147</v>
      </c>
      <c r="H722" s="28" t="s">
        <v>147</v>
      </c>
      <c r="J722" s="28" t="s">
        <v>147</v>
      </c>
    </row>
    <row r="723">
      <c r="G723" s="28" t="s">
        <v>147</v>
      </c>
      <c r="H723" s="28" t="s">
        <v>147</v>
      </c>
      <c r="J723" s="28" t="s">
        <v>147</v>
      </c>
    </row>
    <row r="724">
      <c r="G724" s="28" t="s">
        <v>147</v>
      </c>
      <c r="H724" s="28" t="s">
        <v>147</v>
      </c>
      <c r="J724" s="28" t="s">
        <v>147</v>
      </c>
    </row>
    <row r="725">
      <c r="G725" s="28" t="s">
        <v>147</v>
      </c>
      <c r="H725" s="28" t="s">
        <v>147</v>
      </c>
      <c r="J725" s="28" t="s">
        <v>147</v>
      </c>
    </row>
    <row r="726">
      <c r="G726" s="28" t="s">
        <v>147</v>
      </c>
      <c r="H726" s="28" t="s">
        <v>147</v>
      </c>
      <c r="J726" s="28" t="s">
        <v>147</v>
      </c>
    </row>
    <row r="727">
      <c r="G727" s="28" t="s">
        <v>147</v>
      </c>
      <c r="H727" s="28" t="s">
        <v>147</v>
      </c>
      <c r="J727" s="28" t="s">
        <v>147</v>
      </c>
    </row>
    <row r="728">
      <c r="G728" s="28" t="s">
        <v>147</v>
      </c>
      <c r="H728" s="28" t="s">
        <v>147</v>
      </c>
      <c r="J728" s="28" t="s">
        <v>147</v>
      </c>
    </row>
    <row r="729">
      <c r="G729" s="28" t="s">
        <v>147</v>
      </c>
      <c r="H729" s="28" t="s">
        <v>147</v>
      </c>
      <c r="J729" s="28" t="s">
        <v>147</v>
      </c>
    </row>
    <row r="730">
      <c r="G730" s="28" t="s">
        <v>147</v>
      </c>
      <c r="H730" s="28" t="s">
        <v>147</v>
      </c>
      <c r="J730" s="28" t="s">
        <v>147</v>
      </c>
    </row>
    <row r="731">
      <c r="G731" s="28" t="s">
        <v>147</v>
      </c>
      <c r="H731" s="28" t="s">
        <v>147</v>
      </c>
      <c r="J731" s="28" t="s">
        <v>147</v>
      </c>
    </row>
    <row r="732">
      <c r="G732" s="28" t="s">
        <v>147</v>
      </c>
      <c r="H732" s="28" t="s">
        <v>147</v>
      </c>
      <c r="J732" s="28" t="s">
        <v>147</v>
      </c>
    </row>
    <row r="733">
      <c r="G733" s="28" t="s">
        <v>147</v>
      </c>
      <c r="H733" s="28" t="s">
        <v>147</v>
      </c>
      <c r="J733" s="28" t="s">
        <v>147</v>
      </c>
    </row>
    <row r="734">
      <c r="G734" s="28" t="s">
        <v>147</v>
      </c>
      <c r="H734" s="28" t="s">
        <v>147</v>
      </c>
      <c r="J734" s="28" t="s">
        <v>147</v>
      </c>
    </row>
    <row r="735">
      <c r="G735" s="28" t="s">
        <v>147</v>
      </c>
      <c r="H735" s="28" t="s">
        <v>147</v>
      </c>
      <c r="J735" s="28" t="s">
        <v>147</v>
      </c>
    </row>
    <row r="736">
      <c r="G736" s="28" t="s">
        <v>147</v>
      </c>
      <c r="H736" s="28" t="s">
        <v>147</v>
      </c>
      <c r="J736" s="28" t="s">
        <v>147</v>
      </c>
    </row>
    <row r="737">
      <c r="G737" s="28" t="s">
        <v>147</v>
      </c>
      <c r="H737" s="28" t="s">
        <v>147</v>
      </c>
      <c r="J737" s="28" t="s">
        <v>147</v>
      </c>
    </row>
    <row r="738">
      <c r="G738" s="28" t="s">
        <v>147</v>
      </c>
      <c r="H738" s="28" t="s">
        <v>147</v>
      </c>
      <c r="J738" s="28" t="s">
        <v>147</v>
      </c>
    </row>
    <row r="739">
      <c r="G739" s="28" t="s">
        <v>147</v>
      </c>
      <c r="H739" s="28" t="s">
        <v>147</v>
      </c>
      <c r="J739" s="28" t="s">
        <v>147</v>
      </c>
    </row>
    <row r="740">
      <c r="G740" s="28" t="s">
        <v>147</v>
      </c>
      <c r="H740" s="28" t="s">
        <v>147</v>
      </c>
      <c r="J740" s="28" t="s">
        <v>147</v>
      </c>
    </row>
    <row r="741">
      <c r="G741" s="28" t="s">
        <v>147</v>
      </c>
      <c r="H741" s="28" t="s">
        <v>147</v>
      </c>
      <c r="J741" s="28" t="s">
        <v>147</v>
      </c>
    </row>
    <row r="742">
      <c r="G742" s="28" t="s">
        <v>147</v>
      </c>
      <c r="H742" s="28" t="s">
        <v>147</v>
      </c>
      <c r="J742" s="28" t="s">
        <v>147</v>
      </c>
    </row>
    <row r="743">
      <c r="G743" s="28" t="s">
        <v>147</v>
      </c>
      <c r="H743" s="28" t="s">
        <v>147</v>
      </c>
      <c r="J743" s="28" t="s">
        <v>147</v>
      </c>
    </row>
    <row r="744">
      <c r="G744" s="28" t="s">
        <v>147</v>
      </c>
      <c r="H744" s="28" t="s">
        <v>147</v>
      </c>
      <c r="J744" s="28" t="s">
        <v>147</v>
      </c>
    </row>
    <row r="745">
      <c r="G745" s="28" t="s">
        <v>147</v>
      </c>
      <c r="H745" s="28" t="s">
        <v>147</v>
      </c>
      <c r="J745" s="28" t="s">
        <v>147</v>
      </c>
    </row>
    <row r="746">
      <c r="G746" s="28" t="s">
        <v>147</v>
      </c>
      <c r="H746" s="28" t="s">
        <v>147</v>
      </c>
      <c r="J746" s="28" t="s">
        <v>147</v>
      </c>
    </row>
    <row r="747">
      <c r="G747" s="28" t="s">
        <v>147</v>
      </c>
      <c r="H747" s="28" t="s">
        <v>147</v>
      </c>
      <c r="J747" s="28" t="s">
        <v>147</v>
      </c>
    </row>
    <row r="748">
      <c r="G748" s="28" t="s">
        <v>147</v>
      </c>
      <c r="H748" s="28" t="s">
        <v>147</v>
      </c>
      <c r="J748" s="28" t="s">
        <v>147</v>
      </c>
    </row>
    <row r="749">
      <c r="G749" s="28" t="s">
        <v>147</v>
      </c>
      <c r="H749" s="28" t="s">
        <v>147</v>
      </c>
      <c r="J749" s="28" t="s">
        <v>147</v>
      </c>
    </row>
    <row r="750">
      <c r="G750" s="28" t="s">
        <v>147</v>
      </c>
      <c r="H750" s="28" t="s">
        <v>147</v>
      </c>
      <c r="J750" s="28" t="s">
        <v>147</v>
      </c>
    </row>
    <row r="751">
      <c r="G751" s="28" t="s">
        <v>147</v>
      </c>
      <c r="H751" s="28" t="s">
        <v>147</v>
      </c>
      <c r="J751" s="28" t="s">
        <v>147</v>
      </c>
    </row>
    <row r="752">
      <c r="G752" s="28" t="s">
        <v>147</v>
      </c>
      <c r="H752" s="28" t="s">
        <v>147</v>
      </c>
      <c r="J752" s="28" t="s">
        <v>147</v>
      </c>
    </row>
    <row r="753">
      <c r="G753" s="28" t="s">
        <v>147</v>
      </c>
      <c r="H753" s="28" t="s">
        <v>147</v>
      </c>
      <c r="J753" s="28" t="s">
        <v>147</v>
      </c>
    </row>
    <row r="754">
      <c r="G754" s="28" t="s">
        <v>147</v>
      </c>
      <c r="H754" s="28" t="s">
        <v>147</v>
      </c>
      <c r="J754" s="28" t="s">
        <v>147</v>
      </c>
    </row>
    <row r="755">
      <c r="G755" s="28" t="s">
        <v>147</v>
      </c>
      <c r="H755" s="28" t="s">
        <v>147</v>
      </c>
      <c r="J755" s="28" t="s">
        <v>147</v>
      </c>
    </row>
    <row r="756">
      <c r="G756" s="28" t="s">
        <v>147</v>
      </c>
      <c r="H756" s="28" t="s">
        <v>147</v>
      </c>
      <c r="J756" s="28" t="s">
        <v>147</v>
      </c>
    </row>
    <row r="757">
      <c r="G757" s="28" t="s">
        <v>147</v>
      </c>
      <c r="H757" s="28" t="s">
        <v>147</v>
      </c>
      <c r="J757" s="28" t="s">
        <v>147</v>
      </c>
    </row>
    <row r="758">
      <c r="G758" s="28" t="s">
        <v>147</v>
      </c>
      <c r="H758" s="28" t="s">
        <v>147</v>
      </c>
      <c r="J758" s="28" t="s">
        <v>147</v>
      </c>
    </row>
    <row r="759">
      <c r="G759" s="28" t="s">
        <v>147</v>
      </c>
      <c r="H759" s="28" t="s">
        <v>147</v>
      </c>
      <c r="J759" s="28" t="s">
        <v>147</v>
      </c>
    </row>
    <row r="760">
      <c r="G760" s="28" t="s">
        <v>147</v>
      </c>
      <c r="H760" s="28" t="s">
        <v>147</v>
      </c>
      <c r="J760" s="28" t="s">
        <v>147</v>
      </c>
    </row>
    <row r="761">
      <c r="G761" s="28" t="s">
        <v>147</v>
      </c>
      <c r="H761" s="28" t="s">
        <v>147</v>
      </c>
      <c r="J761" s="28" t="s">
        <v>147</v>
      </c>
    </row>
    <row r="762">
      <c r="G762" s="28" t="s">
        <v>147</v>
      </c>
      <c r="H762" s="28" t="s">
        <v>147</v>
      </c>
      <c r="J762" s="28" t="s">
        <v>147</v>
      </c>
    </row>
    <row r="763">
      <c r="G763" s="28" t="s">
        <v>147</v>
      </c>
      <c r="H763" s="28" t="s">
        <v>147</v>
      </c>
      <c r="J763" s="28" t="s">
        <v>147</v>
      </c>
    </row>
    <row r="764">
      <c r="G764" s="28" t="s">
        <v>147</v>
      </c>
      <c r="H764" s="28" t="s">
        <v>147</v>
      </c>
      <c r="J764" s="28" t="s">
        <v>147</v>
      </c>
    </row>
    <row r="765">
      <c r="G765" s="28" t="s">
        <v>147</v>
      </c>
      <c r="H765" s="28" t="s">
        <v>147</v>
      </c>
      <c r="J765" s="28" t="s">
        <v>147</v>
      </c>
    </row>
    <row r="766">
      <c r="G766" s="28" t="s">
        <v>147</v>
      </c>
      <c r="H766" s="28" t="s">
        <v>147</v>
      </c>
      <c r="J766" s="28" t="s">
        <v>147</v>
      </c>
    </row>
    <row r="767">
      <c r="G767" s="28" t="s">
        <v>147</v>
      </c>
      <c r="H767" s="28" t="s">
        <v>147</v>
      </c>
      <c r="J767" s="28" t="s">
        <v>147</v>
      </c>
    </row>
    <row r="768">
      <c r="G768" s="28" t="s">
        <v>147</v>
      </c>
      <c r="H768" s="28" t="s">
        <v>147</v>
      </c>
      <c r="J768" s="28" t="s">
        <v>147</v>
      </c>
    </row>
    <row r="769">
      <c r="G769" s="28" t="s">
        <v>147</v>
      </c>
      <c r="H769" s="28" t="s">
        <v>147</v>
      </c>
      <c r="J769" s="28" t="s">
        <v>147</v>
      </c>
    </row>
    <row r="770">
      <c r="G770" s="28" t="s">
        <v>147</v>
      </c>
      <c r="H770" s="28" t="s">
        <v>147</v>
      </c>
      <c r="J770" s="28" t="s">
        <v>147</v>
      </c>
    </row>
    <row r="771">
      <c r="G771" s="28" t="s">
        <v>147</v>
      </c>
      <c r="H771" s="28" t="s">
        <v>147</v>
      </c>
      <c r="J771" s="28" t="s">
        <v>147</v>
      </c>
    </row>
    <row r="772">
      <c r="G772" s="28" t="s">
        <v>147</v>
      </c>
      <c r="H772" s="28" t="s">
        <v>147</v>
      </c>
      <c r="J772" s="28" t="s">
        <v>147</v>
      </c>
    </row>
    <row r="773">
      <c r="G773" s="28" t="s">
        <v>147</v>
      </c>
      <c r="H773" s="28" t="s">
        <v>147</v>
      </c>
      <c r="J773" s="28" t="s">
        <v>147</v>
      </c>
    </row>
    <row r="774">
      <c r="G774" s="28" t="s">
        <v>147</v>
      </c>
      <c r="H774" s="28" t="s">
        <v>147</v>
      </c>
      <c r="J774" s="28" t="s">
        <v>147</v>
      </c>
    </row>
    <row r="775">
      <c r="G775" s="28" t="s">
        <v>147</v>
      </c>
      <c r="H775" s="28" t="s">
        <v>147</v>
      </c>
      <c r="J775" s="28" t="s">
        <v>147</v>
      </c>
    </row>
    <row r="776">
      <c r="G776" s="28" t="s">
        <v>147</v>
      </c>
      <c r="H776" s="28" t="s">
        <v>147</v>
      </c>
      <c r="J776" s="28" t="s">
        <v>147</v>
      </c>
    </row>
    <row r="777">
      <c r="G777" s="28" t="s">
        <v>147</v>
      </c>
      <c r="H777" s="28" t="s">
        <v>147</v>
      </c>
      <c r="J777" s="28" t="s">
        <v>147</v>
      </c>
    </row>
    <row r="778">
      <c r="G778" s="28" t="s">
        <v>147</v>
      </c>
      <c r="H778" s="28" t="s">
        <v>147</v>
      </c>
      <c r="J778" s="28" t="s">
        <v>147</v>
      </c>
    </row>
    <row r="779">
      <c r="G779" s="28" t="s">
        <v>147</v>
      </c>
      <c r="H779" s="28" t="s">
        <v>147</v>
      </c>
      <c r="J779" s="28" t="s">
        <v>147</v>
      </c>
    </row>
    <row r="780">
      <c r="G780" s="28" t="s">
        <v>147</v>
      </c>
      <c r="H780" s="28" t="s">
        <v>147</v>
      </c>
      <c r="J780" s="28" t="s">
        <v>147</v>
      </c>
    </row>
    <row r="781">
      <c r="G781" s="28" t="s">
        <v>147</v>
      </c>
      <c r="H781" s="28" t="s">
        <v>147</v>
      </c>
      <c r="J781" s="28" t="s">
        <v>147</v>
      </c>
    </row>
    <row r="782">
      <c r="G782" s="28" t="s">
        <v>147</v>
      </c>
      <c r="H782" s="28" t="s">
        <v>147</v>
      </c>
      <c r="J782" s="28" t="s">
        <v>147</v>
      </c>
    </row>
    <row r="783">
      <c r="G783" s="28" t="s">
        <v>147</v>
      </c>
      <c r="H783" s="28" t="s">
        <v>147</v>
      </c>
      <c r="J783" s="28" t="s">
        <v>147</v>
      </c>
    </row>
    <row r="784">
      <c r="G784" s="28" t="s">
        <v>147</v>
      </c>
      <c r="H784" s="28" t="s">
        <v>147</v>
      </c>
      <c r="J784" s="28" t="s">
        <v>147</v>
      </c>
    </row>
    <row r="785">
      <c r="G785" s="28" t="s">
        <v>147</v>
      </c>
      <c r="H785" s="28" t="s">
        <v>147</v>
      </c>
      <c r="J785" s="28" t="s">
        <v>147</v>
      </c>
    </row>
    <row r="786">
      <c r="G786" s="28" t="s">
        <v>147</v>
      </c>
      <c r="H786" s="28" t="s">
        <v>147</v>
      </c>
      <c r="J786" s="28" t="s">
        <v>147</v>
      </c>
    </row>
    <row r="787">
      <c r="G787" s="28" t="s">
        <v>147</v>
      </c>
      <c r="H787" s="28" t="s">
        <v>147</v>
      </c>
      <c r="J787" s="28" t="s">
        <v>147</v>
      </c>
    </row>
    <row r="788">
      <c r="G788" s="28" t="s">
        <v>147</v>
      </c>
      <c r="H788" s="28" t="s">
        <v>147</v>
      </c>
      <c r="J788" s="28" t="s">
        <v>147</v>
      </c>
    </row>
    <row r="789">
      <c r="G789" s="28" t="s">
        <v>147</v>
      </c>
      <c r="H789" s="28" t="s">
        <v>147</v>
      </c>
      <c r="J789" s="28" t="s">
        <v>147</v>
      </c>
    </row>
    <row r="790">
      <c r="G790" s="28" t="s">
        <v>147</v>
      </c>
      <c r="H790" s="28" t="s">
        <v>147</v>
      </c>
      <c r="J790" s="28" t="s">
        <v>147</v>
      </c>
    </row>
    <row r="791">
      <c r="G791" s="28" t="s">
        <v>147</v>
      </c>
      <c r="H791" s="28" t="s">
        <v>147</v>
      </c>
      <c r="J791" s="28" t="s">
        <v>147</v>
      </c>
    </row>
    <row r="792">
      <c r="G792" s="28" t="s">
        <v>147</v>
      </c>
      <c r="H792" s="28" t="s">
        <v>147</v>
      </c>
      <c r="J792" s="28" t="s">
        <v>147</v>
      </c>
    </row>
    <row r="793">
      <c r="G793" s="28" t="s">
        <v>147</v>
      </c>
      <c r="H793" s="28" t="s">
        <v>147</v>
      </c>
      <c r="J793" s="28" t="s">
        <v>147</v>
      </c>
    </row>
    <row r="794">
      <c r="G794" s="28" t="s">
        <v>147</v>
      </c>
      <c r="H794" s="28" t="s">
        <v>147</v>
      </c>
      <c r="J794" s="28" t="s">
        <v>147</v>
      </c>
    </row>
    <row r="795">
      <c r="G795" s="28" t="s">
        <v>147</v>
      </c>
      <c r="H795" s="28" t="s">
        <v>147</v>
      </c>
      <c r="J795" s="28" t="s">
        <v>147</v>
      </c>
    </row>
    <row r="796">
      <c r="G796" s="28" t="s">
        <v>147</v>
      </c>
      <c r="H796" s="28" t="s">
        <v>147</v>
      </c>
      <c r="J796" s="28" t="s">
        <v>147</v>
      </c>
    </row>
    <row r="797">
      <c r="G797" s="28" t="s">
        <v>147</v>
      </c>
      <c r="H797" s="28" t="s">
        <v>147</v>
      </c>
      <c r="J797" s="28" t="s">
        <v>147</v>
      </c>
    </row>
    <row r="798">
      <c r="G798" s="28" t="s">
        <v>147</v>
      </c>
      <c r="H798" s="28" t="s">
        <v>147</v>
      </c>
      <c r="J798" s="28" t="s">
        <v>147</v>
      </c>
    </row>
    <row r="799">
      <c r="G799" s="28" t="s">
        <v>147</v>
      </c>
      <c r="H799" s="28" t="s">
        <v>147</v>
      </c>
      <c r="J799" s="28" t="s">
        <v>147</v>
      </c>
    </row>
    <row r="800">
      <c r="G800" s="28" t="s">
        <v>147</v>
      </c>
      <c r="H800" s="28" t="s">
        <v>147</v>
      </c>
      <c r="J800" s="28" t="s">
        <v>147</v>
      </c>
    </row>
    <row r="801">
      <c r="G801" s="28" t="s">
        <v>147</v>
      </c>
      <c r="H801" s="28" t="s">
        <v>147</v>
      </c>
      <c r="J801" s="28" t="s">
        <v>147</v>
      </c>
    </row>
    <row r="802">
      <c r="G802" s="28" t="s">
        <v>147</v>
      </c>
      <c r="H802" s="28" t="s">
        <v>147</v>
      </c>
      <c r="J802" s="28" t="s">
        <v>147</v>
      </c>
    </row>
    <row r="803">
      <c r="G803" s="28" t="s">
        <v>147</v>
      </c>
      <c r="H803" s="28" t="s">
        <v>147</v>
      </c>
      <c r="J803" s="28" t="s">
        <v>147</v>
      </c>
    </row>
    <row r="804">
      <c r="G804" s="28" t="s">
        <v>147</v>
      </c>
      <c r="H804" s="28" t="s">
        <v>147</v>
      </c>
      <c r="J804" s="28" t="s">
        <v>147</v>
      </c>
    </row>
    <row r="805">
      <c r="G805" s="28" t="s">
        <v>147</v>
      </c>
      <c r="H805" s="28" t="s">
        <v>147</v>
      </c>
      <c r="J805" s="28" t="s">
        <v>147</v>
      </c>
    </row>
    <row r="806">
      <c r="G806" s="28" t="s">
        <v>147</v>
      </c>
      <c r="H806" s="28" t="s">
        <v>147</v>
      </c>
      <c r="J806" s="28" t="s">
        <v>147</v>
      </c>
    </row>
    <row r="807">
      <c r="G807" s="28" t="s">
        <v>147</v>
      </c>
      <c r="H807" s="28" t="s">
        <v>147</v>
      </c>
      <c r="J807" s="28" t="s">
        <v>147</v>
      </c>
    </row>
    <row r="808">
      <c r="G808" s="28" t="s">
        <v>147</v>
      </c>
      <c r="H808" s="28" t="s">
        <v>147</v>
      </c>
      <c r="J808" s="28" t="s">
        <v>147</v>
      </c>
    </row>
    <row r="809">
      <c r="G809" s="28" t="s">
        <v>147</v>
      </c>
      <c r="H809" s="28" t="s">
        <v>147</v>
      </c>
      <c r="J809" s="28" t="s">
        <v>147</v>
      </c>
    </row>
    <row r="810">
      <c r="G810" s="28" t="s">
        <v>147</v>
      </c>
      <c r="H810" s="28" t="s">
        <v>147</v>
      </c>
      <c r="J810" s="28" t="s">
        <v>147</v>
      </c>
    </row>
    <row r="811">
      <c r="G811" s="28" t="s">
        <v>147</v>
      </c>
      <c r="H811" s="28" t="s">
        <v>147</v>
      </c>
      <c r="J811" s="28" t="s">
        <v>147</v>
      </c>
    </row>
    <row r="812">
      <c r="G812" s="28" t="s">
        <v>147</v>
      </c>
      <c r="H812" s="28" t="s">
        <v>147</v>
      </c>
      <c r="J812" s="28" t="s">
        <v>147</v>
      </c>
    </row>
    <row r="813">
      <c r="G813" s="28" t="s">
        <v>147</v>
      </c>
      <c r="H813" s="28" t="s">
        <v>147</v>
      </c>
      <c r="J813" s="28" t="s">
        <v>147</v>
      </c>
    </row>
    <row r="814">
      <c r="G814" s="28" t="s">
        <v>147</v>
      </c>
      <c r="H814" s="28" t="s">
        <v>147</v>
      </c>
      <c r="J814" s="28" t="s">
        <v>147</v>
      </c>
    </row>
    <row r="815">
      <c r="G815" s="28" t="s">
        <v>147</v>
      </c>
      <c r="H815" s="28" t="s">
        <v>147</v>
      </c>
      <c r="J815" s="28" t="s">
        <v>147</v>
      </c>
    </row>
    <row r="816">
      <c r="G816" s="28" t="s">
        <v>147</v>
      </c>
      <c r="H816" s="28" t="s">
        <v>147</v>
      </c>
      <c r="J816" s="28" t="s">
        <v>147</v>
      </c>
    </row>
    <row r="817">
      <c r="G817" s="28" t="s">
        <v>147</v>
      </c>
      <c r="H817" s="28" t="s">
        <v>147</v>
      </c>
      <c r="J817" s="28" t="s">
        <v>147</v>
      </c>
    </row>
    <row r="818">
      <c r="G818" s="28" t="s">
        <v>147</v>
      </c>
      <c r="H818" s="28" t="s">
        <v>147</v>
      </c>
      <c r="J818" s="28" t="s">
        <v>147</v>
      </c>
    </row>
    <row r="819">
      <c r="G819" s="28" t="s">
        <v>147</v>
      </c>
      <c r="H819" s="28" t="s">
        <v>147</v>
      </c>
      <c r="J819" s="28" t="s">
        <v>147</v>
      </c>
    </row>
    <row r="820">
      <c r="G820" s="28" t="s">
        <v>147</v>
      </c>
      <c r="H820" s="28" t="s">
        <v>147</v>
      </c>
      <c r="J820" s="28" t="s">
        <v>147</v>
      </c>
    </row>
    <row r="821">
      <c r="G821" s="28" t="s">
        <v>147</v>
      </c>
      <c r="H821" s="28" t="s">
        <v>147</v>
      </c>
      <c r="J821" s="28" t="s">
        <v>147</v>
      </c>
    </row>
    <row r="822">
      <c r="G822" s="28" t="s">
        <v>147</v>
      </c>
      <c r="H822" s="28" t="s">
        <v>147</v>
      </c>
      <c r="J822" s="28" t="s">
        <v>147</v>
      </c>
    </row>
    <row r="823">
      <c r="G823" s="28" t="s">
        <v>147</v>
      </c>
      <c r="H823" s="28" t="s">
        <v>147</v>
      </c>
      <c r="J823" s="28" t="s">
        <v>147</v>
      </c>
    </row>
    <row r="824">
      <c r="G824" s="28" t="s">
        <v>147</v>
      </c>
      <c r="H824" s="28" t="s">
        <v>147</v>
      </c>
      <c r="J824" s="28" t="s">
        <v>147</v>
      </c>
    </row>
    <row r="825">
      <c r="G825" s="28" t="s">
        <v>147</v>
      </c>
      <c r="H825" s="28" t="s">
        <v>147</v>
      </c>
      <c r="J825" s="28" t="s">
        <v>147</v>
      </c>
    </row>
    <row r="826">
      <c r="G826" s="28" t="s">
        <v>147</v>
      </c>
      <c r="H826" s="28" t="s">
        <v>147</v>
      </c>
      <c r="J826" s="28" t="s">
        <v>147</v>
      </c>
    </row>
    <row r="827">
      <c r="G827" s="28" t="s">
        <v>147</v>
      </c>
      <c r="H827" s="28" t="s">
        <v>147</v>
      </c>
      <c r="J827" s="28" t="s">
        <v>147</v>
      </c>
    </row>
    <row r="828">
      <c r="G828" s="28" t="s">
        <v>147</v>
      </c>
      <c r="H828" s="28" t="s">
        <v>147</v>
      </c>
      <c r="J828" s="28" t="s">
        <v>147</v>
      </c>
    </row>
    <row r="829">
      <c r="G829" s="28" t="s">
        <v>147</v>
      </c>
      <c r="H829" s="28" t="s">
        <v>147</v>
      </c>
      <c r="J829" s="28" t="s">
        <v>147</v>
      </c>
    </row>
    <row r="830">
      <c r="G830" s="28" t="s">
        <v>147</v>
      </c>
      <c r="H830" s="28" t="s">
        <v>147</v>
      </c>
      <c r="J830" s="28" t="s">
        <v>147</v>
      </c>
    </row>
    <row r="831">
      <c r="G831" s="28" t="s">
        <v>147</v>
      </c>
      <c r="H831" s="28" t="s">
        <v>147</v>
      </c>
      <c r="J831" s="28" t="s">
        <v>147</v>
      </c>
    </row>
    <row r="832">
      <c r="G832" s="28" t="s">
        <v>147</v>
      </c>
      <c r="H832" s="28" t="s">
        <v>147</v>
      </c>
      <c r="J832" s="28" t="s">
        <v>147</v>
      </c>
    </row>
    <row r="833">
      <c r="G833" s="28" t="s">
        <v>147</v>
      </c>
      <c r="H833" s="28" t="s">
        <v>147</v>
      </c>
      <c r="J833" s="28" t="s">
        <v>147</v>
      </c>
    </row>
    <row r="834">
      <c r="G834" s="28" t="s">
        <v>147</v>
      </c>
      <c r="H834" s="28" t="s">
        <v>147</v>
      </c>
      <c r="J834" s="28" t="s">
        <v>147</v>
      </c>
    </row>
    <row r="835">
      <c r="G835" s="28" t="s">
        <v>147</v>
      </c>
      <c r="H835" s="28" t="s">
        <v>147</v>
      </c>
      <c r="J835" s="28" t="s">
        <v>147</v>
      </c>
    </row>
    <row r="836">
      <c r="G836" s="28" t="s">
        <v>147</v>
      </c>
      <c r="H836" s="28" t="s">
        <v>147</v>
      </c>
      <c r="J836" s="28" t="s">
        <v>147</v>
      </c>
    </row>
    <row r="837">
      <c r="G837" s="28" t="s">
        <v>147</v>
      </c>
      <c r="H837" s="28" t="s">
        <v>147</v>
      </c>
      <c r="J837" s="28" t="s">
        <v>147</v>
      </c>
    </row>
    <row r="838">
      <c r="G838" s="28" t="s">
        <v>147</v>
      </c>
      <c r="H838" s="28" t="s">
        <v>147</v>
      </c>
      <c r="J838" s="28" t="s">
        <v>147</v>
      </c>
    </row>
    <row r="839">
      <c r="G839" s="28" t="s">
        <v>147</v>
      </c>
      <c r="H839" s="28" t="s">
        <v>147</v>
      </c>
      <c r="J839" s="28" t="s">
        <v>147</v>
      </c>
    </row>
    <row r="840">
      <c r="G840" s="28" t="s">
        <v>147</v>
      </c>
      <c r="H840" s="28" t="s">
        <v>147</v>
      </c>
      <c r="J840" s="28" t="s">
        <v>147</v>
      </c>
    </row>
    <row r="841">
      <c r="G841" s="28" t="s">
        <v>147</v>
      </c>
      <c r="H841" s="28" t="s">
        <v>147</v>
      </c>
      <c r="J841" s="28" t="s">
        <v>147</v>
      </c>
    </row>
    <row r="842">
      <c r="G842" s="28" t="s">
        <v>147</v>
      </c>
      <c r="H842" s="28" t="s">
        <v>147</v>
      </c>
      <c r="J842" s="28" t="s">
        <v>147</v>
      </c>
    </row>
    <row r="843">
      <c r="G843" s="28" t="s">
        <v>147</v>
      </c>
      <c r="H843" s="28" t="s">
        <v>147</v>
      </c>
      <c r="J843" s="28" t="s">
        <v>147</v>
      </c>
    </row>
    <row r="844">
      <c r="G844" s="28" t="s">
        <v>147</v>
      </c>
      <c r="H844" s="28" t="s">
        <v>147</v>
      </c>
      <c r="J844" s="28" t="s">
        <v>147</v>
      </c>
    </row>
    <row r="845">
      <c r="G845" s="28" t="s">
        <v>147</v>
      </c>
      <c r="H845" s="28" t="s">
        <v>147</v>
      </c>
      <c r="J845" s="28" t="s">
        <v>147</v>
      </c>
    </row>
    <row r="846">
      <c r="G846" s="28" t="s">
        <v>147</v>
      </c>
      <c r="H846" s="28" t="s">
        <v>147</v>
      </c>
      <c r="J846" s="28" t="s">
        <v>147</v>
      </c>
    </row>
    <row r="847">
      <c r="G847" s="28" t="s">
        <v>147</v>
      </c>
      <c r="H847" s="28" t="s">
        <v>147</v>
      </c>
      <c r="J847" s="28" t="s">
        <v>147</v>
      </c>
    </row>
    <row r="848">
      <c r="G848" s="28" t="s">
        <v>147</v>
      </c>
      <c r="H848" s="28" t="s">
        <v>147</v>
      </c>
      <c r="J848" s="28" t="s">
        <v>147</v>
      </c>
    </row>
    <row r="849">
      <c r="G849" s="28" t="s">
        <v>147</v>
      </c>
      <c r="H849" s="28" t="s">
        <v>147</v>
      </c>
      <c r="J849" s="28" t="s">
        <v>147</v>
      </c>
    </row>
    <row r="850">
      <c r="G850" s="28" t="s">
        <v>147</v>
      </c>
      <c r="H850" s="28" t="s">
        <v>147</v>
      </c>
      <c r="J850" s="28" t="s">
        <v>147</v>
      </c>
    </row>
    <row r="851">
      <c r="G851" s="28" t="s">
        <v>147</v>
      </c>
      <c r="H851" s="28" t="s">
        <v>147</v>
      </c>
      <c r="J851" s="28" t="s">
        <v>147</v>
      </c>
    </row>
    <row r="852">
      <c r="G852" s="28" t="s">
        <v>147</v>
      </c>
      <c r="H852" s="28" t="s">
        <v>147</v>
      </c>
      <c r="J852" s="28" t="s">
        <v>147</v>
      </c>
    </row>
    <row r="853">
      <c r="G853" s="28" t="s">
        <v>147</v>
      </c>
      <c r="H853" s="28" t="s">
        <v>147</v>
      </c>
      <c r="J853" s="28" t="s">
        <v>147</v>
      </c>
    </row>
    <row r="854">
      <c r="G854" s="28" t="s">
        <v>147</v>
      </c>
      <c r="H854" s="28" t="s">
        <v>147</v>
      </c>
      <c r="J854" s="28" t="s">
        <v>147</v>
      </c>
    </row>
    <row r="855">
      <c r="G855" s="28" t="s">
        <v>147</v>
      </c>
      <c r="H855" s="28" t="s">
        <v>147</v>
      </c>
      <c r="J855" s="28" t="s">
        <v>147</v>
      </c>
    </row>
    <row r="856">
      <c r="G856" s="28" t="s">
        <v>147</v>
      </c>
      <c r="H856" s="28" t="s">
        <v>147</v>
      </c>
      <c r="J856" s="28" t="s">
        <v>147</v>
      </c>
    </row>
    <row r="857">
      <c r="G857" s="28" t="s">
        <v>147</v>
      </c>
      <c r="H857" s="28" t="s">
        <v>147</v>
      </c>
      <c r="J857" s="28" t="s">
        <v>147</v>
      </c>
    </row>
    <row r="858">
      <c r="G858" s="28" t="s">
        <v>147</v>
      </c>
      <c r="H858" s="28" t="s">
        <v>147</v>
      </c>
      <c r="J858" s="28" t="s">
        <v>147</v>
      </c>
    </row>
    <row r="859">
      <c r="G859" s="28" t="s">
        <v>147</v>
      </c>
      <c r="H859" s="28" t="s">
        <v>147</v>
      </c>
      <c r="J859" s="28" t="s">
        <v>147</v>
      </c>
    </row>
    <row r="860">
      <c r="G860" s="28" t="s">
        <v>147</v>
      </c>
      <c r="H860" s="28" t="s">
        <v>147</v>
      </c>
      <c r="J860" s="28" t="s">
        <v>147</v>
      </c>
    </row>
    <row r="861">
      <c r="G861" s="28" t="s">
        <v>147</v>
      </c>
      <c r="H861" s="28" t="s">
        <v>147</v>
      </c>
      <c r="J861" s="28" t="s">
        <v>147</v>
      </c>
    </row>
    <row r="862">
      <c r="G862" s="28" t="s">
        <v>147</v>
      </c>
      <c r="H862" s="28" t="s">
        <v>147</v>
      </c>
      <c r="J862" s="28" t="s">
        <v>147</v>
      </c>
    </row>
    <row r="863">
      <c r="G863" s="28" t="s">
        <v>147</v>
      </c>
      <c r="H863" s="28" t="s">
        <v>147</v>
      </c>
      <c r="J863" s="28" t="s">
        <v>147</v>
      </c>
    </row>
    <row r="864">
      <c r="G864" s="28" t="s">
        <v>147</v>
      </c>
      <c r="H864" s="28" t="s">
        <v>147</v>
      </c>
      <c r="J864" s="28" t="s">
        <v>147</v>
      </c>
    </row>
    <row r="865">
      <c r="G865" s="28" t="s">
        <v>147</v>
      </c>
      <c r="H865" s="28" t="s">
        <v>147</v>
      </c>
      <c r="J865" s="28" t="s">
        <v>147</v>
      </c>
    </row>
    <row r="866">
      <c r="G866" s="28" t="s">
        <v>147</v>
      </c>
      <c r="H866" s="28" t="s">
        <v>147</v>
      </c>
      <c r="J866" s="28" t="s">
        <v>147</v>
      </c>
    </row>
    <row r="867">
      <c r="G867" s="28" t="s">
        <v>147</v>
      </c>
      <c r="H867" s="28" t="s">
        <v>147</v>
      </c>
      <c r="J867" s="28" t="s">
        <v>147</v>
      </c>
    </row>
    <row r="868">
      <c r="G868" s="28" t="s">
        <v>147</v>
      </c>
      <c r="H868" s="28" t="s">
        <v>147</v>
      </c>
      <c r="J868" s="28" t="s">
        <v>147</v>
      </c>
    </row>
    <row r="869">
      <c r="G869" s="28" t="s">
        <v>147</v>
      </c>
      <c r="H869" s="28" t="s">
        <v>147</v>
      </c>
      <c r="J869" s="28" t="s">
        <v>147</v>
      </c>
    </row>
    <row r="870">
      <c r="G870" s="28" t="s">
        <v>147</v>
      </c>
      <c r="H870" s="28" t="s">
        <v>147</v>
      </c>
      <c r="J870" s="28" t="s">
        <v>147</v>
      </c>
    </row>
    <row r="871">
      <c r="G871" s="28" t="s">
        <v>147</v>
      </c>
      <c r="H871" s="28" t="s">
        <v>147</v>
      </c>
      <c r="J871" s="28" t="s">
        <v>147</v>
      </c>
    </row>
    <row r="872">
      <c r="G872" s="28" t="s">
        <v>147</v>
      </c>
      <c r="H872" s="28" t="s">
        <v>147</v>
      </c>
      <c r="J872" s="28" t="s">
        <v>147</v>
      </c>
    </row>
    <row r="873">
      <c r="G873" s="28" t="s">
        <v>147</v>
      </c>
      <c r="H873" s="28" t="s">
        <v>147</v>
      </c>
      <c r="J873" s="28" t="s">
        <v>147</v>
      </c>
    </row>
    <row r="874">
      <c r="G874" s="28" t="s">
        <v>147</v>
      </c>
      <c r="H874" s="28" t="s">
        <v>147</v>
      </c>
      <c r="J874" s="28" t="s">
        <v>147</v>
      </c>
    </row>
    <row r="875">
      <c r="G875" s="28" t="s">
        <v>147</v>
      </c>
      <c r="H875" s="28" t="s">
        <v>147</v>
      </c>
      <c r="J875" s="28" t="s">
        <v>147</v>
      </c>
    </row>
    <row r="876">
      <c r="G876" s="28" t="s">
        <v>147</v>
      </c>
      <c r="H876" s="28" t="s">
        <v>147</v>
      </c>
      <c r="J876" s="28" t="s">
        <v>147</v>
      </c>
    </row>
    <row r="877">
      <c r="G877" s="28" t="s">
        <v>147</v>
      </c>
      <c r="H877" s="28" t="s">
        <v>147</v>
      </c>
      <c r="J877" s="28" t="s">
        <v>147</v>
      </c>
    </row>
    <row r="878">
      <c r="G878" s="28" t="s">
        <v>147</v>
      </c>
      <c r="H878" s="28" t="s">
        <v>147</v>
      </c>
      <c r="J878" s="28" t="s">
        <v>147</v>
      </c>
    </row>
    <row r="879">
      <c r="G879" s="28" t="s">
        <v>147</v>
      </c>
      <c r="H879" s="28" t="s">
        <v>147</v>
      </c>
      <c r="J879" s="28" t="s">
        <v>147</v>
      </c>
    </row>
    <row r="880">
      <c r="G880" s="28" t="s">
        <v>147</v>
      </c>
      <c r="H880" s="28" t="s">
        <v>147</v>
      </c>
      <c r="J880" s="28" t="s">
        <v>147</v>
      </c>
    </row>
    <row r="881">
      <c r="G881" s="28" t="s">
        <v>147</v>
      </c>
      <c r="H881" s="28" t="s">
        <v>147</v>
      </c>
      <c r="J881" s="28" t="s">
        <v>147</v>
      </c>
    </row>
    <row r="882">
      <c r="G882" s="28" t="s">
        <v>147</v>
      </c>
      <c r="H882" s="28" t="s">
        <v>147</v>
      </c>
      <c r="J882" s="28" t="s">
        <v>147</v>
      </c>
    </row>
    <row r="883">
      <c r="G883" s="28" t="s">
        <v>147</v>
      </c>
      <c r="H883" s="28" t="s">
        <v>147</v>
      </c>
      <c r="J883" s="28" t="s">
        <v>147</v>
      </c>
    </row>
    <row r="884">
      <c r="G884" s="28" t="s">
        <v>147</v>
      </c>
      <c r="H884" s="28" t="s">
        <v>147</v>
      </c>
      <c r="J884" s="28" t="s">
        <v>147</v>
      </c>
    </row>
    <row r="885">
      <c r="G885" s="28" t="s">
        <v>147</v>
      </c>
      <c r="H885" s="28" t="s">
        <v>147</v>
      </c>
      <c r="J885" s="28" t="s">
        <v>147</v>
      </c>
    </row>
    <row r="886">
      <c r="G886" s="28" t="s">
        <v>147</v>
      </c>
      <c r="H886" s="28" t="s">
        <v>147</v>
      </c>
      <c r="J886" s="28" t="s">
        <v>147</v>
      </c>
    </row>
    <row r="887">
      <c r="G887" s="28" t="s">
        <v>147</v>
      </c>
      <c r="H887" s="28" t="s">
        <v>147</v>
      </c>
      <c r="J887" s="28" t="s">
        <v>147</v>
      </c>
    </row>
    <row r="888">
      <c r="G888" s="28" t="s">
        <v>147</v>
      </c>
      <c r="H888" s="28" t="s">
        <v>147</v>
      </c>
      <c r="J888" s="28" t="s">
        <v>147</v>
      </c>
    </row>
    <row r="889">
      <c r="G889" s="28" t="s">
        <v>147</v>
      </c>
      <c r="H889" s="28" t="s">
        <v>147</v>
      </c>
      <c r="J889" s="28" t="s">
        <v>147</v>
      </c>
    </row>
    <row r="890">
      <c r="G890" s="28" t="s">
        <v>147</v>
      </c>
      <c r="H890" s="28" t="s">
        <v>147</v>
      </c>
      <c r="J890" s="28" t="s">
        <v>147</v>
      </c>
    </row>
    <row r="891">
      <c r="G891" s="28" t="s">
        <v>147</v>
      </c>
      <c r="H891" s="28" t="s">
        <v>147</v>
      </c>
      <c r="J891" s="28" t="s">
        <v>147</v>
      </c>
    </row>
    <row r="892">
      <c r="G892" s="28" t="s">
        <v>147</v>
      </c>
      <c r="H892" s="28" t="s">
        <v>147</v>
      </c>
      <c r="J892" s="28" t="s">
        <v>147</v>
      </c>
    </row>
    <row r="893">
      <c r="G893" s="28" t="s">
        <v>147</v>
      </c>
      <c r="H893" s="28" t="s">
        <v>147</v>
      </c>
      <c r="J893" s="28" t="s">
        <v>147</v>
      </c>
    </row>
    <row r="894">
      <c r="G894" s="28" t="s">
        <v>147</v>
      </c>
      <c r="H894" s="28" t="s">
        <v>147</v>
      </c>
      <c r="J894" s="28" t="s">
        <v>147</v>
      </c>
    </row>
    <row r="895">
      <c r="G895" s="28" t="s">
        <v>147</v>
      </c>
      <c r="H895" s="28" t="s">
        <v>147</v>
      </c>
      <c r="J895" s="28" t="s">
        <v>147</v>
      </c>
    </row>
    <row r="896">
      <c r="G896" s="28" t="s">
        <v>147</v>
      </c>
      <c r="H896" s="28" t="s">
        <v>147</v>
      </c>
      <c r="J896" s="28" t="s">
        <v>147</v>
      </c>
    </row>
    <row r="897">
      <c r="G897" s="28" t="s">
        <v>147</v>
      </c>
      <c r="H897" s="28" t="s">
        <v>147</v>
      </c>
      <c r="J897" s="28" t="s">
        <v>147</v>
      </c>
    </row>
    <row r="898">
      <c r="G898" s="28" t="s">
        <v>147</v>
      </c>
      <c r="H898" s="28" t="s">
        <v>147</v>
      </c>
      <c r="J898" s="28" t="s">
        <v>147</v>
      </c>
    </row>
    <row r="899">
      <c r="G899" s="28" t="s">
        <v>147</v>
      </c>
      <c r="H899" s="28" t="s">
        <v>147</v>
      </c>
      <c r="J899" s="28" t="s">
        <v>147</v>
      </c>
    </row>
    <row r="900">
      <c r="G900" s="28" t="s">
        <v>147</v>
      </c>
      <c r="H900" s="28" t="s">
        <v>147</v>
      </c>
      <c r="J900" s="28" t="s">
        <v>147</v>
      </c>
    </row>
    <row r="901">
      <c r="G901" s="28" t="s">
        <v>147</v>
      </c>
      <c r="H901" s="28" t="s">
        <v>147</v>
      </c>
      <c r="J901" s="28" t="s">
        <v>147</v>
      </c>
    </row>
    <row r="902">
      <c r="G902" s="28" t="s">
        <v>147</v>
      </c>
      <c r="H902" s="28" t="s">
        <v>147</v>
      </c>
      <c r="J902" s="28" t="s">
        <v>147</v>
      </c>
    </row>
    <row r="903">
      <c r="G903" s="28" t="s">
        <v>147</v>
      </c>
      <c r="H903" s="28" t="s">
        <v>147</v>
      </c>
      <c r="J903" s="28" t="s">
        <v>147</v>
      </c>
    </row>
    <row r="904">
      <c r="G904" s="28" t="s">
        <v>147</v>
      </c>
      <c r="H904" s="28" t="s">
        <v>147</v>
      </c>
      <c r="J904" s="28" t="s">
        <v>147</v>
      </c>
    </row>
    <row r="905">
      <c r="G905" s="28" t="s">
        <v>147</v>
      </c>
      <c r="H905" s="28" t="s">
        <v>147</v>
      </c>
      <c r="J905" s="28" t="s">
        <v>147</v>
      </c>
    </row>
    <row r="906">
      <c r="G906" s="28" t="s">
        <v>147</v>
      </c>
      <c r="H906" s="28" t="s">
        <v>147</v>
      </c>
      <c r="J906" s="28" t="s">
        <v>147</v>
      </c>
    </row>
    <row r="907">
      <c r="G907" s="28" t="s">
        <v>147</v>
      </c>
      <c r="H907" s="28" t="s">
        <v>147</v>
      </c>
      <c r="J907" s="28" t="s">
        <v>147</v>
      </c>
    </row>
    <row r="908">
      <c r="G908" s="28" t="s">
        <v>147</v>
      </c>
      <c r="H908" s="28" t="s">
        <v>147</v>
      </c>
      <c r="J908" s="28" t="s">
        <v>147</v>
      </c>
    </row>
    <row r="909">
      <c r="G909" s="28" t="s">
        <v>147</v>
      </c>
      <c r="H909" s="28" t="s">
        <v>147</v>
      </c>
      <c r="J909" s="28" t="s">
        <v>147</v>
      </c>
    </row>
    <row r="910">
      <c r="G910" s="28" t="s">
        <v>147</v>
      </c>
      <c r="H910" s="28" t="s">
        <v>147</v>
      </c>
      <c r="J910" s="28" t="s">
        <v>147</v>
      </c>
    </row>
    <row r="911">
      <c r="G911" s="28" t="s">
        <v>147</v>
      </c>
      <c r="H911" s="28" t="s">
        <v>147</v>
      </c>
      <c r="J911" s="28" t="s">
        <v>147</v>
      </c>
    </row>
    <row r="912">
      <c r="G912" s="28" t="s">
        <v>147</v>
      </c>
      <c r="H912" s="28" t="s">
        <v>147</v>
      </c>
      <c r="J912" s="28" t="s">
        <v>147</v>
      </c>
    </row>
    <row r="913">
      <c r="G913" s="28" t="s">
        <v>147</v>
      </c>
      <c r="H913" s="28" t="s">
        <v>147</v>
      </c>
      <c r="J913" s="28" t="s">
        <v>147</v>
      </c>
    </row>
    <row r="914">
      <c r="G914" s="28" t="s">
        <v>147</v>
      </c>
      <c r="H914" s="28" t="s">
        <v>147</v>
      </c>
      <c r="J914" s="28" t="s">
        <v>147</v>
      </c>
    </row>
    <row r="915">
      <c r="G915" s="28" t="s">
        <v>147</v>
      </c>
      <c r="H915" s="28" t="s">
        <v>147</v>
      </c>
      <c r="J915" s="28" t="s">
        <v>147</v>
      </c>
    </row>
    <row r="916">
      <c r="G916" s="28" t="s">
        <v>147</v>
      </c>
      <c r="H916" s="28" t="s">
        <v>147</v>
      </c>
      <c r="J916" s="28" t="s">
        <v>147</v>
      </c>
    </row>
    <row r="917">
      <c r="G917" s="28" t="s">
        <v>147</v>
      </c>
      <c r="H917" s="28" t="s">
        <v>147</v>
      </c>
      <c r="J917" s="28" t="s">
        <v>147</v>
      </c>
    </row>
    <row r="918">
      <c r="G918" s="28" t="s">
        <v>147</v>
      </c>
      <c r="H918" s="28" t="s">
        <v>147</v>
      </c>
      <c r="J918" s="28" t="s">
        <v>147</v>
      </c>
    </row>
    <row r="919">
      <c r="G919" s="28" t="s">
        <v>147</v>
      </c>
      <c r="H919" s="28" t="s">
        <v>147</v>
      </c>
      <c r="J919" s="28" t="s">
        <v>147</v>
      </c>
    </row>
    <row r="920">
      <c r="G920" s="28" t="s">
        <v>147</v>
      </c>
      <c r="H920" s="28" t="s">
        <v>147</v>
      </c>
      <c r="J920" s="28" t="s">
        <v>147</v>
      </c>
    </row>
    <row r="921">
      <c r="G921" s="28" t="s">
        <v>147</v>
      </c>
      <c r="H921" s="28" t="s">
        <v>147</v>
      </c>
      <c r="J921" s="28" t="s">
        <v>147</v>
      </c>
    </row>
    <row r="922">
      <c r="G922" s="28" t="s">
        <v>147</v>
      </c>
      <c r="H922" s="28" t="s">
        <v>147</v>
      </c>
      <c r="J922" s="28" t="s">
        <v>147</v>
      </c>
    </row>
    <row r="923">
      <c r="G923" s="28" t="s">
        <v>147</v>
      </c>
      <c r="H923" s="28" t="s">
        <v>147</v>
      </c>
      <c r="J923" s="28" t="s">
        <v>147</v>
      </c>
    </row>
    <row r="924">
      <c r="G924" s="28" t="s">
        <v>147</v>
      </c>
      <c r="H924" s="28" t="s">
        <v>147</v>
      </c>
      <c r="J924" s="28" t="s">
        <v>147</v>
      </c>
    </row>
    <row r="925">
      <c r="G925" s="28" t="s">
        <v>147</v>
      </c>
      <c r="H925" s="28" t="s">
        <v>147</v>
      </c>
      <c r="J925" s="28" t="s">
        <v>147</v>
      </c>
    </row>
    <row r="926">
      <c r="G926" s="28" t="s">
        <v>147</v>
      </c>
      <c r="H926" s="28" t="s">
        <v>147</v>
      </c>
      <c r="J926" s="28" t="s">
        <v>147</v>
      </c>
    </row>
    <row r="927">
      <c r="G927" s="28" t="s">
        <v>147</v>
      </c>
      <c r="H927" s="28" t="s">
        <v>147</v>
      </c>
      <c r="J927" s="28" t="s">
        <v>147</v>
      </c>
    </row>
    <row r="928">
      <c r="G928" s="28" t="s">
        <v>147</v>
      </c>
      <c r="H928" s="28" t="s">
        <v>147</v>
      </c>
      <c r="J928" s="28" t="s">
        <v>147</v>
      </c>
    </row>
    <row r="929">
      <c r="G929" s="28" t="s">
        <v>147</v>
      </c>
      <c r="H929" s="28" t="s">
        <v>147</v>
      </c>
      <c r="J929" s="28" t="s">
        <v>147</v>
      </c>
    </row>
    <row r="930">
      <c r="G930" s="28" t="s">
        <v>147</v>
      </c>
      <c r="H930" s="28" t="s">
        <v>147</v>
      </c>
      <c r="J930" s="28" t="s">
        <v>147</v>
      </c>
    </row>
    <row r="931">
      <c r="G931" s="28" t="s">
        <v>147</v>
      </c>
      <c r="H931" s="28" t="s">
        <v>147</v>
      </c>
      <c r="J931" s="28" t="s">
        <v>147</v>
      </c>
    </row>
    <row r="932">
      <c r="G932" s="28" t="s">
        <v>147</v>
      </c>
      <c r="H932" s="28" t="s">
        <v>147</v>
      </c>
      <c r="J932" s="28" t="s">
        <v>147</v>
      </c>
    </row>
    <row r="933">
      <c r="G933" s="28" t="s">
        <v>147</v>
      </c>
      <c r="H933" s="28" t="s">
        <v>147</v>
      </c>
      <c r="J933" s="28" t="s">
        <v>147</v>
      </c>
    </row>
    <row r="934">
      <c r="G934" s="28" t="s">
        <v>147</v>
      </c>
      <c r="H934" s="28" t="s">
        <v>147</v>
      </c>
      <c r="J934" s="28" t="s">
        <v>147</v>
      </c>
    </row>
    <row r="935">
      <c r="G935" s="28" t="s">
        <v>147</v>
      </c>
      <c r="H935" s="28" t="s">
        <v>147</v>
      </c>
      <c r="J935" s="28" t="s">
        <v>147</v>
      </c>
    </row>
    <row r="936">
      <c r="G936" s="28" t="s">
        <v>147</v>
      </c>
      <c r="H936" s="28" t="s">
        <v>147</v>
      </c>
      <c r="J936" s="28" t="s">
        <v>147</v>
      </c>
    </row>
    <row r="937">
      <c r="G937" s="28" t="s">
        <v>147</v>
      </c>
      <c r="H937" s="28" t="s">
        <v>147</v>
      </c>
      <c r="J937" s="28" t="s">
        <v>147</v>
      </c>
    </row>
    <row r="938">
      <c r="G938" s="28" t="s">
        <v>147</v>
      </c>
      <c r="H938" s="28" t="s">
        <v>147</v>
      </c>
      <c r="J938" s="28" t="s">
        <v>147</v>
      </c>
    </row>
    <row r="939">
      <c r="G939" s="28" t="s">
        <v>147</v>
      </c>
      <c r="H939" s="28" t="s">
        <v>147</v>
      </c>
      <c r="J939" s="28" t="s">
        <v>147</v>
      </c>
    </row>
    <row r="940">
      <c r="G940" s="28" t="s">
        <v>147</v>
      </c>
      <c r="H940" s="28" t="s">
        <v>147</v>
      </c>
      <c r="J940" s="28" t="s">
        <v>147</v>
      </c>
    </row>
    <row r="941">
      <c r="G941" s="28" t="s">
        <v>147</v>
      </c>
      <c r="H941" s="28" t="s">
        <v>147</v>
      </c>
      <c r="J941" s="28" t="s">
        <v>147</v>
      </c>
    </row>
    <row r="942">
      <c r="G942" s="28" t="s">
        <v>147</v>
      </c>
      <c r="H942" s="28" t="s">
        <v>147</v>
      </c>
      <c r="J942" s="28" t="s">
        <v>147</v>
      </c>
    </row>
    <row r="943">
      <c r="G943" s="28" t="s">
        <v>147</v>
      </c>
      <c r="H943" s="28" t="s">
        <v>147</v>
      </c>
      <c r="J943" s="28" t="s">
        <v>147</v>
      </c>
    </row>
    <row r="944">
      <c r="G944" s="28" t="s">
        <v>147</v>
      </c>
      <c r="H944" s="28" t="s">
        <v>147</v>
      </c>
      <c r="J944" s="28" t="s">
        <v>147</v>
      </c>
    </row>
    <row r="945">
      <c r="G945" s="28" t="s">
        <v>147</v>
      </c>
      <c r="H945" s="28" t="s">
        <v>147</v>
      </c>
      <c r="J945" s="28" t="s">
        <v>147</v>
      </c>
    </row>
    <row r="946">
      <c r="G946" s="28" t="s">
        <v>147</v>
      </c>
      <c r="H946" s="28" t="s">
        <v>147</v>
      </c>
      <c r="J946" s="28" t="s">
        <v>147</v>
      </c>
    </row>
    <row r="947">
      <c r="G947" s="28" t="s">
        <v>147</v>
      </c>
      <c r="H947" s="28" t="s">
        <v>147</v>
      </c>
      <c r="J947" s="28" t="s">
        <v>147</v>
      </c>
    </row>
    <row r="948">
      <c r="G948" s="28" t="s">
        <v>147</v>
      </c>
      <c r="H948" s="28" t="s">
        <v>147</v>
      </c>
      <c r="J948" s="28" t="s">
        <v>147</v>
      </c>
    </row>
    <row r="949">
      <c r="G949" s="28" t="s">
        <v>147</v>
      </c>
      <c r="H949" s="28" t="s">
        <v>147</v>
      </c>
      <c r="J949" s="28" t="s">
        <v>147</v>
      </c>
    </row>
    <row r="950">
      <c r="G950" s="28" t="s">
        <v>147</v>
      </c>
      <c r="H950" s="28" t="s">
        <v>147</v>
      </c>
      <c r="J950" s="28" t="s">
        <v>147</v>
      </c>
    </row>
    <row r="951">
      <c r="G951" s="28" t="s">
        <v>147</v>
      </c>
      <c r="H951" s="28" t="s">
        <v>147</v>
      </c>
      <c r="J951" s="28" t="s">
        <v>147</v>
      </c>
    </row>
    <row r="952">
      <c r="G952" s="28" t="s">
        <v>147</v>
      </c>
      <c r="H952" s="28" t="s">
        <v>147</v>
      </c>
      <c r="J952" s="28" t="s">
        <v>147</v>
      </c>
    </row>
    <row r="953">
      <c r="G953" s="28" t="s">
        <v>147</v>
      </c>
      <c r="H953" s="28" t="s">
        <v>147</v>
      </c>
      <c r="J953" s="28" t="s">
        <v>147</v>
      </c>
    </row>
    <row r="954">
      <c r="G954" s="28" t="s">
        <v>147</v>
      </c>
      <c r="H954" s="28" t="s">
        <v>147</v>
      </c>
      <c r="J954" s="28" t="s">
        <v>147</v>
      </c>
    </row>
    <row r="955">
      <c r="G955" s="28" t="s">
        <v>147</v>
      </c>
      <c r="H955" s="28" t="s">
        <v>147</v>
      </c>
      <c r="J955" s="28" t="s">
        <v>147</v>
      </c>
    </row>
    <row r="956">
      <c r="G956" s="28" t="s">
        <v>147</v>
      </c>
      <c r="H956" s="28" t="s">
        <v>147</v>
      </c>
      <c r="J956" s="28" t="s">
        <v>147</v>
      </c>
    </row>
    <row r="957">
      <c r="G957" s="28" t="s">
        <v>147</v>
      </c>
      <c r="H957" s="28" t="s">
        <v>147</v>
      </c>
      <c r="J957" s="28" t="s">
        <v>147</v>
      </c>
    </row>
    <row r="958">
      <c r="G958" s="28" t="s">
        <v>147</v>
      </c>
      <c r="H958" s="28" t="s">
        <v>147</v>
      </c>
      <c r="J958" s="28" t="s">
        <v>147</v>
      </c>
    </row>
    <row r="959">
      <c r="G959" s="28" t="s">
        <v>147</v>
      </c>
      <c r="H959" s="28" t="s">
        <v>147</v>
      </c>
      <c r="J959" s="28" t="s">
        <v>147</v>
      </c>
    </row>
    <row r="960">
      <c r="G960" s="28" t="s">
        <v>147</v>
      </c>
      <c r="H960" s="28" t="s">
        <v>147</v>
      </c>
      <c r="J960" s="28" t="s">
        <v>147</v>
      </c>
    </row>
    <row r="961">
      <c r="G961" s="28" t="s">
        <v>147</v>
      </c>
      <c r="H961" s="28" t="s">
        <v>147</v>
      </c>
      <c r="J961" s="28" t="s">
        <v>147</v>
      </c>
    </row>
    <row r="962">
      <c r="G962" s="28" t="s">
        <v>147</v>
      </c>
      <c r="H962" s="28" t="s">
        <v>147</v>
      </c>
      <c r="J962" s="28" t="s">
        <v>147</v>
      </c>
    </row>
    <row r="963">
      <c r="G963" s="28" t="s">
        <v>147</v>
      </c>
      <c r="H963" s="28" t="s">
        <v>147</v>
      </c>
      <c r="J963" s="28" t="s">
        <v>147</v>
      </c>
    </row>
    <row r="964">
      <c r="G964" s="28" t="s">
        <v>147</v>
      </c>
      <c r="H964" s="28" t="s">
        <v>147</v>
      </c>
      <c r="J964" s="28" t="s">
        <v>147</v>
      </c>
    </row>
    <row r="965">
      <c r="G965" s="28" t="s">
        <v>147</v>
      </c>
      <c r="H965" s="28" t="s">
        <v>147</v>
      </c>
      <c r="J965" s="28" t="s">
        <v>147</v>
      </c>
    </row>
    <row r="966">
      <c r="G966" s="28" t="s">
        <v>147</v>
      </c>
      <c r="H966" s="28" t="s">
        <v>147</v>
      </c>
      <c r="J966" s="28" t="s">
        <v>147</v>
      </c>
    </row>
    <row r="967">
      <c r="G967" s="28" t="s">
        <v>147</v>
      </c>
      <c r="H967" s="28" t="s">
        <v>147</v>
      </c>
      <c r="J967" s="28" t="s">
        <v>147</v>
      </c>
    </row>
    <row r="968">
      <c r="G968" s="28" t="s">
        <v>147</v>
      </c>
      <c r="H968" s="28" t="s">
        <v>147</v>
      </c>
      <c r="J968" s="28" t="s">
        <v>147</v>
      </c>
    </row>
    <row r="969">
      <c r="G969" s="28" t="s">
        <v>147</v>
      </c>
      <c r="H969" s="28" t="s">
        <v>147</v>
      </c>
      <c r="J969" s="28" t="s">
        <v>147</v>
      </c>
    </row>
    <row r="970">
      <c r="G970" s="28" t="s">
        <v>147</v>
      </c>
      <c r="H970" s="28" t="s">
        <v>147</v>
      </c>
      <c r="J970" s="28" t="s">
        <v>147</v>
      </c>
    </row>
    <row r="971">
      <c r="G971" s="28" t="s">
        <v>147</v>
      </c>
      <c r="H971" s="28" t="s">
        <v>147</v>
      </c>
      <c r="J971" s="28" t="s">
        <v>147</v>
      </c>
    </row>
    <row r="972">
      <c r="G972" s="28" t="s">
        <v>147</v>
      </c>
      <c r="H972" s="28" t="s">
        <v>147</v>
      </c>
      <c r="J972" s="28" t="s">
        <v>147</v>
      </c>
    </row>
    <row r="973">
      <c r="G973" s="28" t="s">
        <v>147</v>
      </c>
      <c r="H973" s="28" t="s">
        <v>147</v>
      </c>
      <c r="J973" s="28" t="s">
        <v>147</v>
      </c>
    </row>
    <row r="974">
      <c r="G974" s="28" t="s">
        <v>147</v>
      </c>
      <c r="H974" s="28" t="s">
        <v>147</v>
      </c>
      <c r="J974" s="28" t="s">
        <v>147</v>
      </c>
    </row>
    <row r="975">
      <c r="G975" s="28" t="s">
        <v>147</v>
      </c>
      <c r="H975" s="28" t="s">
        <v>147</v>
      </c>
      <c r="J975" s="28" t="s">
        <v>147</v>
      </c>
    </row>
    <row r="976">
      <c r="G976" s="28" t="s">
        <v>147</v>
      </c>
      <c r="H976" s="28" t="s">
        <v>147</v>
      </c>
      <c r="J976" s="28" t="s">
        <v>147</v>
      </c>
    </row>
    <row r="977">
      <c r="G977" s="28" t="s">
        <v>147</v>
      </c>
      <c r="H977" s="28" t="s">
        <v>147</v>
      </c>
      <c r="J977" s="28" t="s">
        <v>147</v>
      </c>
    </row>
    <row r="978">
      <c r="G978" s="28" t="s">
        <v>147</v>
      </c>
      <c r="H978" s="28" t="s">
        <v>147</v>
      </c>
      <c r="J978" s="28" t="s">
        <v>147</v>
      </c>
    </row>
    <row r="979">
      <c r="G979" s="28" t="s">
        <v>147</v>
      </c>
      <c r="H979" s="28" t="s">
        <v>147</v>
      </c>
      <c r="J979" s="28" t="s">
        <v>147</v>
      </c>
    </row>
    <row r="980">
      <c r="G980" s="28" t="s">
        <v>147</v>
      </c>
      <c r="H980" s="28" t="s">
        <v>147</v>
      </c>
      <c r="J980" s="28" t="s">
        <v>147</v>
      </c>
    </row>
    <row r="981">
      <c r="G981" s="28" t="s">
        <v>147</v>
      </c>
      <c r="H981" s="28" t="s">
        <v>147</v>
      </c>
      <c r="J981" s="28" t="s">
        <v>147</v>
      </c>
    </row>
    <row r="982">
      <c r="G982" s="28" t="s">
        <v>147</v>
      </c>
      <c r="H982" s="28" t="s">
        <v>147</v>
      </c>
      <c r="J982" s="28" t="s">
        <v>147</v>
      </c>
    </row>
    <row r="983">
      <c r="G983" s="28" t="s">
        <v>147</v>
      </c>
      <c r="H983" s="28" t="s">
        <v>147</v>
      </c>
      <c r="J983" s="28" t="s">
        <v>147</v>
      </c>
    </row>
    <row r="984">
      <c r="G984" s="28" t="s">
        <v>147</v>
      </c>
      <c r="H984" s="28" t="s">
        <v>147</v>
      </c>
      <c r="J984" s="28" t="s">
        <v>147</v>
      </c>
    </row>
    <row r="985">
      <c r="G985" s="28" t="s">
        <v>147</v>
      </c>
      <c r="H985" s="28" t="s">
        <v>147</v>
      </c>
      <c r="J985" s="28" t="s">
        <v>147</v>
      </c>
    </row>
    <row r="986">
      <c r="G986" s="28" t="s">
        <v>147</v>
      </c>
      <c r="H986" s="28" t="s">
        <v>147</v>
      </c>
      <c r="J986" s="28" t="s">
        <v>147</v>
      </c>
    </row>
    <row r="987">
      <c r="G987" s="28" t="s">
        <v>147</v>
      </c>
      <c r="H987" s="28" t="s">
        <v>147</v>
      </c>
      <c r="J987" s="28" t="s">
        <v>147</v>
      </c>
    </row>
    <row r="988">
      <c r="G988" s="28" t="s">
        <v>147</v>
      </c>
      <c r="H988" s="28" t="s">
        <v>147</v>
      </c>
      <c r="J988" s="28" t="s">
        <v>147</v>
      </c>
    </row>
    <row r="989">
      <c r="G989" s="28" t="s">
        <v>147</v>
      </c>
      <c r="H989" s="28" t="s">
        <v>147</v>
      </c>
      <c r="J989" s="28" t="s">
        <v>147</v>
      </c>
    </row>
    <row r="990">
      <c r="G990" s="28" t="s">
        <v>147</v>
      </c>
      <c r="H990" s="28" t="s">
        <v>147</v>
      </c>
      <c r="J990" s="28" t="s">
        <v>147</v>
      </c>
    </row>
    <row r="991">
      <c r="G991" s="28" t="s">
        <v>147</v>
      </c>
      <c r="H991" s="28" t="s">
        <v>147</v>
      </c>
      <c r="J991" s="28" t="s">
        <v>147</v>
      </c>
    </row>
    <row r="992">
      <c r="G992" s="28" t="s">
        <v>147</v>
      </c>
      <c r="H992" s="28" t="s">
        <v>147</v>
      </c>
      <c r="J992" s="28" t="s">
        <v>147</v>
      </c>
    </row>
    <row r="993">
      <c r="G993" s="28" t="s">
        <v>147</v>
      </c>
      <c r="H993" s="28" t="s">
        <v>147</v>
      </c>
      <c r="J993" s="28" t="s">
        <v>147</v>
      </c>
    </row>
    <row r="994">
      <c r="G994" s="28" t="s">
        <v>147</v>
      </c>
      <c r="H994" s="28" t="s">
        <v>147</v>
      </c>
      <c r="J994" s="28" t="s">
        <v>147</v>
      </c>
    </row>
    <row r="995">
      <c r="G995" s="28" t="s">
        <v>147</v>
      </c>
      <c r="H995" s="28" t="s">
        <v>147</v>
      </c>
      <c r="J995" s="28" t="s">
        <v>147</v>
      </c>
    </row>
    <row r="996">
      <c r="G996" s="28" t="s">
        <v>147</v>
      </c>
      <c r="H996" s="28" t="s">
        <v>147</v>
      </c>
      <c r="J996" s="28" t="s">
        <v>147</v>
      </c>
    </row>
    <row r="997">
      <c r="G997" s="28" t="s">
        <v>147</v>
      </c>
      <c r="H997" s="28" t="s">
        <v>147</v>
      </c>
      <c r="J997" s="28" t="s">
        <v>147</v>
      </c>
    </row>
    <row r="998">
      <c r="G998" s="28" t="s">
        <v>147</v>
      </c>
      <c r="H998" s="28" t="s">
        <v>147</v>
      </c>
      <c r="J998" s="28" t="s">
        <v>147</v>
      </c>
    </row>
    <row r="999">
      <c r="G999" s="28" t="s">
        <v>147</v>
      </c>
      <c r="H999" s="28" t="s">
        <v>147</v>
      </c>
      <c r="J999" s="28" t="s">
        <v>147</v>
      </c>
    </row>
    <row r="1000">
      <c r="G1000" s="28" t="s">
        <v>147</v>
      </c>
      <c r="H1000" s="28" t="s">
        <v>147</v>
      </c>
      <c r="J1000" s="28" t="s">
        <v>147</v>
      </c>
    </row>
  </sheetData>
  <dataValidations>
    <dataValidation type="list" allowBlank="1" showErrorMessage="1" sqref="I2">
      <formula1>"Option 1,Option 2"</formula1>
    </dataValidation>
  </dataValidations>
  <hyperlinks>
    <hyperlink r:id="rId1" ref="F6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148</v>
      </c>
      <c r="B1" s="115">
        <v>46113.0</v>
      </c>
    </row>
    <row r="2">
      <c r="A2" s="19" t="s">
        <v>149</v>
      </c>
      <c r="B2" s="19">
        <v>0.0</v>
      </c>
    </row>
    <row r="3">
      <c r="A3" s="19" t="s">
        <v>150</v>
      </c>
      <c r="B3" s="19">
        <v>0.0</v>
      </c>
    </row>
    <row r="4">
      <c r="A4" s="19" t="s">
        <v>151</v>
      </c>
      <c r="B4" s="19">
        <v>0.0</v>
      </c>
    </row>
    <row r="5">
      <c r="A5" s="19" t="s">
        <v>152</v>
      </c>
      <c r="B5" s="19">
        <v>0.0</v>
      </c>
    </row>
    <row r="8">
      <c r="A8" s="19" t="s">
        <v>132</v>
      </c>
      <c r="B8" s="19" t="s">
        <v>153</v>
      </c>
      <c r="C8" s="19" t="s">
        <v>154</v>
      </c>
      <c r="E8" s="19" t="s">
        <v>132</v>
      </c>
      <c r="F8" s="19" t="s">
        <v>155</v>
      </c>
      <c r="G8" s="19" t="s">
        <v>156</v>
      </c>
    </row>
    <row r="9">
      <c r="A9" s="19" t="s">
        <v>135</v>
      </c>
      <c r="B9" s="113">
        <f>$B$2</f>
        <v>0</v>
      </c>
      <c r="C9" s="113">
        <f>SUMIFS(Txn_Control!G:G, Txn_Control!J:J, "Inflow", Txn_Control!A:A, "&gt;="&amp;$B$1)</f>
        <v>46084</v>
      </c>
      <c r="E9" s="19" t="s">
        <v>134</v>
      </c>
      <c r="F9" s="28">
        <f>SUMIFS(Txn_Control!G:G,Txn_Control!J:J,E9,Txn_Control!A:A,"&gt;="&amp;EOMONTH(TODAY(),-1)+1,Txn_Control!A:A,"&lt;="&amp;TODAY())</f>
        <v>-3516</v>
      </c>
      <c r="G9" s="113">
        <f t="shared" ref="G9:G12" si="1">C9</f>
        <v>46084</v>
      </c>
    </row>
    <row r="10">
      <c r="A10" s="19" t="s">
        <v>134</v>
      </c>
      <c r="B10" s="113">
        <f>$B$3</f>
        <v>0</v>
      </c>
      <c r="C10" s="113">
        <f>SUMIFS(Txn_Control!G:G, Txn_Control!J:J, "Inventory", Txn_Control!A:A, "&gt;="&amp;$B$1)</f>
        <v>-26637</v>
      </c>
      <c r="E10" s="19" t="s">
        <v>136</v>
      </c>
      <c r="F10" s="28">
        <f>SUMIFS(Txn_Control!G:G,Txn_Control!J:J,E10,Txn_Control!A:A,"&gt;="&amp;EOMONTH(TODAY(),-1)+1,Txn_Control!A:A,"&lt;="&amp;TODAY())</f>
        <v>0</v>
      </c>
      <c r="G10" s="113">
        <f t="shared" si="1"/>
        <v>-26637</v>
      </c>
    </row>
    <row r="11">
      <c r="A11" s="19" t="s">
        <v>136</v>
      </c>
      <c r="B11" s="113">
        <f>$B$4</f>
        <v>0</v>
      </c>
      <c r="C11" s="113">
        <f>SUMIFS(Txn_Control!G:G, Txn_Control!J:J, "Operations", Txn_Control!A:A, "&gt;="&amp;$B$1)</f>
        <v>0</v>
      </c>
      <c r="E11" s="19" t="s">
        <v>137</v>
      </c>
      <c r="F11" s="28">
        <f>SUMIFS(Txn_Control!G:G,Txn_Control!J:J,E11,Txn_Control!A:A,"&gt;="&amp;EOMONTH(TODAY(),-1)+1,Txn_Control!A:A,"&lt;="&amp;TODAY())</f>
        <v>0</v>
      </c>
      <c r="G11" s="113">
        <f t="shared" si="1"/>
        <v>0</v>
      </c>
    </row>
    <row r="12">
      <c r="A12" s="19" t="s">
        <v>137</v>
      </c>
      <c r="B12" s="113">
        <f>$B$5</f>
        <v>0</v>
      </c>
      <c r="C12" s="113">
        <f>SUMIFS(Txn_Control!G:G, Txn_Control!J:J, "Fixed Costs", Txn_Control!A:A, "&gt;="&amp;$B$1)</f>
        <v>-3000</v>
      </c>
      <c r="E12" s="19" t="s">
        <v>138</v>
      </c>
      <c r="F12" s="28">
        <f>SUMIFS(Txn_Control!G:G,Txn_Control!J:J,E12,Txn_Control!A:A,"&gt;="&amp;EOMONTH(TODAY(),-1)+1,Txn_Control!A:A,"&lt;="&amp;TODAY())</f>
        <v>0</v>
      </c>
      <c r="G12" s="113">
        <f t="shared" si="1"/>
        <v>-3000</v>
      </c>
    </row>
    <row r="13">
      <c r="A13" s="19" t="s">
        <v>139</v>
      </c>
      <c r="C13" s="28">
        <f>SUMIFS(Txn_Control!G:G, Txn_Control!J:J, "Owner Draw", Txn_Control!A:A, "&gt;="&amp;$B$1)
</f>
        <v>-1430</v>
      </c>
    </row>
    <row r="15">
      <c r="A15" s="19" t="s">
        <v>157</v>
      </c>
    </row>
    <row r="16">
      <c r="B16" s="28">
        <f>SUM(B17:B20)</f>
        <v>72721</v>
      </c>
    </row>
    <row r="17">
      <c r="A17" s="19" t="s">
        <v>158</v>
      </c>
      <c r="B17" s="19" t="s">
        <v>159</v>
      </c>
      <c r="C17" s="19" t="s">
        <v>160</v>
      </c>
      <c r="D17" s="19" t="s">
        <v>161</v>
      </c>
    </row>
    <row r="18">
      <c r="A18" s="19" t="s">
        <v>135</v>
      </c>
      <c r="B18" s="28">
        <f>SUMIFS(Txn_Control!G:G,Txn_Control!J:J,"Inflow",Txn_Control!A:A,"&gt;="&amp;$B$1)
</f>
        <v>46084</v>
      </c>
    </row>
    <row r="19">
      <c r="A19" s="19" t="s">
        <v>134</v>
      </c>
      <c r="B19" s="28">
        <f>ABS(SUMIFS(Txn_Control!G:G,Txn_Control!J:J,"Inventory",Txn_Control!A:A,"&gt;="&amp;$B$1))</f>
        <v>26637</v>
      </c>
      <c r="C19" s="28">
        <f>B19 * VLOOKUP(A19, Targets!A:B,2, FALSE)</f>
        <v>13318.5</v>
      </c>
      <c r="D19" s="28" t="str">
        <f t="shared" ref="D19:D22" si="2">IF(B19 &gt; C19, "OVER", "OK")</f>
        <v>OVER</v>
      </c>
    </row>
    <row r="20">
      <c r="A20" s="19" t="s">
        <v>136</v>
      </c>
      <c r="B20" s="28">
        <f>ABS(SUMIFS(Txn_Control!G:G, Txn_Control!J:J, A20, Txn_Control!A:A, "&gt;="&amp;$B$1))</f>
        <v>0</v>
      </c>
      <c r="C20" s="28">
        <f>B20 * VLOOKUP(A20, Targets!A:B,2, FALSE)</f>
        <v>0</v>
      </c>
      <c r="D20" s="28" t="str">
        <f t="shared" si="2"/>
        <v>OK</v>
      </c>
    </row>
    <row r="21">
      <c r="A21" s="19" t="s">
        <v>137</v>
      </c>
      <c r="B21" s="28">
        <f>ABS(SUMIFS(Txn_Control!G:G,Txn_Control!J:J,"Fixed Costs",Txn_Control!A:A,"&gt;="&amp;$B$1))</f>
        <v>3000</v>
      </c>
      <c r="C21" s="28">
        <f>B21 * VLOOKUP(A21, Targets!A:B,2, FALSE)</f>
        <v>450</v>
      </c>
      <c r="D21" s="28" t="str">
        <f t="shared" si="2"/>
        <v>OVER</v>
      </c>
    </row>
    <row r="22">
      <c r="A22" s="19" t="s">
        <v>139</v>
      </c>
      <c r="B22" s="28">
        <f>ABS(SUMIFS(Txn_Control!G:G,Txn_Control!J:J,"Owner Draw",Txn_Control!A:A,"&gt;="&amp;$B$1))</f>
        <v>1430</v>
      </c>
      <c r="C22" s="28">
        <f>B22 * VLOOKUP(A22, Targets!A:B,2, FALSE)</f>
        <v>214.5</v>
      </c>
      <c r="D22" s="28" t="str">
        <f t="shared" si="2"/>
        <v>OVER</v>
      </c>
    </row>
    <row r="23">
      <c r="A23" s="19" t="s">
        <v>162</v>
      </c>
      <c r="B23" s="28">
        <f>B18-B19-B20-B21-B22</f>
        <v>15017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163</v>
      </c>
      <c r="B1" s="19" t="s">
        <v>164</v>
      </c>
    </row>
    <row r="2">
      <c r="A2" s="19" t="s">
        <v>134</v>
      </c>
      <c r="B2" s="116">
        <v>0.5</v>
      </c>
    </row>
    <row r="3">
      <c r="A3" s="19" t="s">
        <v>136</v>
      </c>
      <c r="B3" s="116">
        <v>0.2</v>
      </c>
    </row>
    <row r="4">
      <c r="A4" s="19" t="s">
        <v>137</v>
      </c>
      <c r="B4" s="116">
        <v>0.15</v>
      </c>
    </row>
    <row r="5">
      <c r="A5" s="19" t="s">
        <v>139</v>
      </c>
      <c r="B5" s="116">
        <v>0.15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6" width="15.14"/>
    <col customWidth="1" min="7" max="7" width="18.86"/>
    <col customWidth="1" min="8" max="8" width="15.14"/>
    <col customWidth="1" min="11" max="11" width="18.86"/>
    <col customWidth="1" min="12" max="14" width="15.14"/>
  </cols>
  <sheetData>
    <row r="1" ht="22.5" customHeight="1">
      <c r="A1" s="95" t="s">
        <v>165</v>
      </c>
      <c r="B1" s="95" t="s">
        <v>166</v>
      </c>
      <c r="C1" s="95" t="s">
        <v>167</v>
      </c>
      <c r="D1" s="95" t="s">
        <v>168</v>
      </c>
      <c r="E1" s="95" t="s">
        <v>169</v>
      </c>
      <c r="F1" s="95" t="s">
        <v>170</v>
      </c>
      <c r="G1" s="95" t="s">
        <v>171</v>
      </c>
      <c r="H1" s="95" t="s">
        <v>172</v>
      </c>
      <c r="I1" s="95" t="s">
        <v>173</v>
      </c>
      <c r="K1" s="95" t="s">
        <v>165</v>
      </c>
      <c r="L1" s="95" t="s">
        <v>174</v>
      </c>
      <c r="M1" s="95" t="s">
        <v>175</v>
      </c>
      <c r="N1" s="95" t="s">
        <v>176</v>
      </c>
      <c r="O1" s="117" t="s">
        <v>161</v>
      </c>
      <c r="P1" s="117" t="s">
        <v>173</v>
      </c>
    </row>
    <row r="2" ht="22.5" customHeight="1">
      <c r="A2" s="118">
        <v>45844.0</v>
      </c>
      <c r="B2" s="119" t="s">
        <v>177</v>
      </c>
      <c r="C2" s="120" t="s">
        <v>178</v>
      </c>
      <c r="D2" s="121">
        <v>9.18065207E8</v>
      </c>
      <c r="E2" s="120" t="s">
        <v>179</v>
      </c>
      <c r="F2" s="119" t="s">
        <v>180</v>
      </c>
      <c r="G2" s="122" t="s">
        <v>181</v>
      </c>
      <c r="H2" s="122" t="s">
        <v>182</v>
      </c>
      <c r="K2" s="118">
        <v>45848.0</v>
      </c>
      <c r="L2" s="119" t="s">
        <v>183</v>
      </c>
      <c r="M2" s="119" t="s">
        <v>184</v>
      </c>
      <c r="N2" s="123">
        <v>9.1220799E8</v>
      </c>
      <c r="O2" s="94"/>
      <c r="P2" s="94"/>
    </row>
    <row r="3" ht="22.5" customHeight="1">
      <c r="A3" s="118">
        <v>45844.0</v>
      </c>
      <c r="B3" s="119" t="s">
        <v>185</v>
      </c>
      <c r="D3" s="123">
        <v>9.1695726E8</v>
      </c>
      <c r="E3" s="119" t="s">
        <v>186</v>
      </c>
      <c r="F3" s="119" t="s">
        <v>187</v>
      </c>
      <c r="G3" s="122" t="s">
        <v>188</v>
      </c>
      <c r="H3" s="122" t="s">
        <v>189</v>
      </c>
      <c r="I3" s="119" t="s">
        <v>190</v>
      </c>
      <c r="K3" s="118">
        <v>45850.0</v>
      </c>
      <c r="L3" s="119" t="s">
        <v>191</v>
      </c>
      <c r="M3" s="119" t="s">
        <v>192</v>
      </c>
      <c r="N3" s="123">
        <v>9.18164242E8</v>
      </c>
      <c r="O3" s="94"/>
      <c r="P3" s="94"/>
    </row>
    <row r="4" ht="22.5" customHeight="1">
      <c r="A4" s="118">
        <v>45845.0</v>
      </c>
      <c r="B4" s="119" t="s">
        <v>193</v>
      </c>
      <c r="C4" s="119" t="s">
        <v>194</v>
      </c>
      <c r="D4" s="121">
        <v>9.26760616E8</v>
      </c>
      <c r="E4" s="119" t="s">
        <v>195</v>
      </c>
      <c r="F4" s="119" t="s">
        <v>196</v>
      </c>
      <c r="G4" s="122" t="s">
        <v>188</v>
      </c>
      <c r="H4" s="122" t="s">
        <v>182</v>
      </c>
      <c r="K4" s="82"/>
      <c r="O4" s="94"/>
      <c r="P4" s="94"/>
    </row>
    <row r="5" ht="22.5" customHeight="1">
      <c r="A5" s="118">
        <v>45845.0</v>
      </c>
      <c r="B5" s="119" t="s">
        <v>197</v>
      </c>
      <c r="C5" s="119" t="s">
        <v>194</v>
      </c>
      <c r="E5" s="119" t="s">
        <v>198</v>
      </c>
      <c r="F5" s="119" t="s">
        <v>196</v>
      </c>
      <c r="G5" s="122" t="s">
        <v>188</v>
      </c>
      <c r="H5" s="122" t="s">
        <v>182</v>
      </c>
      <c r="I5" s="119"/>
      <c r="K5" s="82"/>
      <c r="O5" s="94"/>
      <c r="P5" s="94"/>
    </row>
    <row r="6" ht="22.5" customHeight="1">
      <c r="A6" s="124">
        <v>45846.0</v>
      </c>
      <c r="B6" s="125" t="s">
        <v>199</v>
      </c>
      <c r="C6" s="125" t="s">
        <v>200</v>
      </c>
      <c r="D6" s="126">
        <v>9.12123706E8</v>
      </c>
      <c r="E6" s="125" t="s">
        <v>201</v>
      </c>
      <c r="F6" s="125" t="s">
        <v>202</v>
      </c>
      <c r="G6" s="127" t="s">
        <v>203</v>
      </c>
      <c r="H6" s="127" t="s">
        <v>204</v>
      </c>
      <c r="I6" s="128"/>
      <c r="K6" s="82"/>
      <c r="O6" s="94"/>
      <c r="P6" s="94"/>
    </row>
    <row r="7" ht="22.5" customHeight="1">
      <c r="A7" s="118">
        <v>45846.0</v>
      </c>
      <c r="B7" s="129" t="s">
        <v>205</v>
      </c>
      <c r="C7" s="120" t="s">
        <v>206</v>
      </c>
      <c r="D7" s="123" t="s">
        <v>207</v>
      </c>
      <c r="E7" s="120" t="s">
        <v>208</v>
      </c>
      <c r="F7" s="119" t="s">
        <v>187</v>
      </c>
      <c r="G7" s="122" t="s">
        <v>181</v>
      </c>
      <c r="H7" s="122" t="s">
        <v>182</v>
      </c>
      <c r="K7" s="82"/>
      <c r="O7" s="94"/>
      <c r="P7" s="94"/>
    </row>
    <row r="8" ht="22.5" customHeight="1">
      <c r="A8" s="118">
        <v>45847.0</v>
      </c>
      <c r="B8" s="119" t="s">
        <v>209</v>
      </c>
      <c r="C8" s="119" t="s">
        <v>210</v>
      </c>
      <c r="D8" s="123">
        <v>9.2863481E8</v>
      </c>
      <c r="E8" s="119" t="s">
        <v>211</v>
      </c>
      <c r="F8" s="119" t="s">
        <v>187</v>
      </c>
      <c r="G8" s="122" t="s">
        <v>203</v>
      </c>
      <c r="H8" s="122" t="s">
        <v>204</v>
      </c>
      <c r="I8" s="119" t="s">
        <v>212</v>
      </c>
      <c r="K8" s="82"/>
      <c r="O8" s="94"/>
      <c r="P8" s="94"/>
    </row>
    <row r="9" ht="22.5" customHeight="1">
      <c r="A9" s="118">
        <v>45850.0</v>
      </c>
      <c r="B9" s="119" t="s">
        <v>213</v>
      </c>
      <c r="C9" s="119" t="s">
        <v>214</v>
      </c>
      <c r="D9" s="123">
        <v>9.11561483E8</v>
      </c>
      <c r="E9" s="119" t="s">
        <v>195</v>
      </c>
      <c r="F9" s="119" t="s">
        <v>196</v>
      </c>
      <c r="G9" s="122" t="s">
        <v>181</v>
      </c>
      <c r="H9" s="122" t="s">
        <v>215</v>
      </c>
      <c r="K9" s="82"/>
      <c r="O9" s="94"/>
      <c r="P9" s="94"/>
    </row>
    <row r="10" ht="22.5" customHeight="1">
      <c r="A10" s="118">
        <v>45850.0</v>
      </c>
      <c r="B10" s="119" t="s">
        <v>216</v>
      </c>
      <c r="C10" s="119" t="s">
        <v>217</v>
      </c>
      <c r="D10" s="123">
        <v>9.27157091E8</v>
      </c>
      <c r="E10" s="119" t="s">
        <v>218</v>
      </c>
      <c r="F10" s="119" t="s">
        <v>219</v>
      </c>
      <c r="G10" s="122" t="s">
        <v>181</v>
      </c>
      <c r="H10" s="122" t="s">
        <v>182</v>
      </c>
      <c r="K10" s="82"/>
      <c r="O10" s="94"/>
      <c r="P10" s="94"/>
    </row>
    <row r="11" ht="22.5" customHeight="1">
      <c r="A11" s="130">
        <v>45850.0</v>
      </c>
      <c r="B11" s="131" t="s">
        <v>220</v>
      </c>
      <c r="C11" s="132" t="s">
        <v>221</v>
      </c>
      <c r="D11" s="133">
        <f>+218954300044</f>
        <v>218954300044</v>
      </c>
      <c r="E11" s="131" t="s">
        <v>222</v>
      </c>
      <c r="F11" s="131" t="s">
        <v>223</v>
      </c>
      <c r="G11" s="134" t="s">
        <v>203</v>
      </c>
      <c r="H11" s="134" t="s">
        <v>182</v>
      </c>
      <c r="I11" s="135"/>
    </row>
    <row r="12" ht="22.5" customHeight="1">
      <c r="A12" s="136">
        <v>45861.0</v>
      </c>
      <c r="B12" s="137" t="s">
        <v>224</v>
      </c>
      <c r="C12" s="138"/>
      <c r="D12" s="139">
        <v>9.23320534E8</v>
      </c>
      <c r="E12" s="137" t="s">
        <v>225</v>
      </c>
      <c r="F12" s="137" t="s">
        <v>187</v>
      </c>
      <c r="G12" s="140" t="s">
        <v>188</v>
      </c>
      <c r="H12" s="140" t="s">
        <v>182</v>
      </c>
      <c r="I12" s="141"/>
    </row>
    <row r="13" ht="22.5" customHeight="1">
      <c r="A13" s="90">
        <v>45861.0</v>
      </c>
      <c r="B13" s="142" t="s">
        <v>226</v>
      </c>
      <c r="C13" s="143"/>
      <c r="D13" s="144"/>
      <c r="E13" s="142"/>
      <c r="F13" s="142"/>
      <c r="G13" s="93"/>
      <c r="H13" s="93"/>
      <c r="I13" s="94"/>
    </row>
    <row r="14" ht="22.5" customHeight="1">
      <c r="A14" s="90">
        <v>45862.0</v>
      </c>
      <c r="B14" s="142" t="s">
        <v>227</v>
      </c>
      <c r="C14" s="120" t="s">
        <v>228</v>
      </c>
      <c r="D14" s="121">
        <v>9.25928463E8</v>
      </c>
      <c r="E14" s="142" t="s">
        <v>229</v>
      </c>
      <c r="F14" s="142" t="s">
        <v>230</v>
      </c>
      <c r="G14" s="145" t="s">
        <v>188</v>
      </c>
      <c r="H14" s="145" t="s">
        <v>231</v>
      </c>
      <c r="I14" s="94"/>
    </row>
    <row r="15" ht="22.5" customHeight="1">
      <c r="A15" s="90">
        <v>45885.0</v>
      </c>
      <c r="B15" s="142" t="s">
        <v>232</v>
      </c>
      <c r="C15" s="142" t="s">
        <v>233</v>
      </c>
      <c r="D15" s="146">
        <v>9.26161208E8</v>
      </c>
      <c r="E15" s="142" t="s">
        <v>198</v>
      </c>
      <c r="F15" s="142" t="s">
        <v>234</v>
      </c>
      <c r="G15" s="145" t="s">
        <v>181</v>
      </c>
      <c r="H15" s="145" t="s">
        <v>182</v>
      </c>
      <c r="I15" s="94"/>
    </row>
    <row r="16" ht="22.5" customHeight="1">
      <c r="A16" s="90">
        <v>45885.0</v>
      </c>
      <c r="B16" s="142" t="s">
        <v>235</v>
      </c>
      <c r="C16" s="147" t="s">
        <v>236</v>
      </c>
      <c r="D16" s="148">
        <v>9.12124696E8</v>
      </c>
      <c r="E16" s="142" t="s">
        <v>237</v>
      </c>
      <c r="F16" s="142" t="s">
        <v>238</v>
      </c>
      <c r="G16" s="145" t="s">
        <v>203</v>
      </c>
      <c r="H16" s="145" t="s">
        <v>182</v>
      </c>
      <c r="I16" s="94"/>
    </row>
    <row r="17" ht="22.5" customHeight="1">
      <c r="A17" s="90">
        <v>45889.0</v>
      </c>
      <c r="B17" s="142" t="s">
        <v>239</v>
      </c>
      <c r="C17" s="120" t="s">
        <v>240</v>
      </c>
      <c r="D17" s="149" t="s">
        <v>241</v>
      </c>
      <c r="E17" s="120" t="s">
        <v>242</v>
      </c>
      <c r="F17" s="142" t="s">
        <v>243</v>
      </c>
      <c r="G17" s="145" t="s">
        <v>181</v>
      </c>
      <c r="H17" s="145" t="s">
        <v>182</v>
      </c>
      <c r="I17" s="94"/>
    </row>
    <row r="18" ht="22.5" customHeight="1">
      <c r="A18" s="90">
        <v>45891.0</v>
      </c>
      <c r="B18" s="142" t="s">
        <v>244</v>
      </c>
      <c r="C18" s="120" t="s">
        <v>245</v>
      </c>
      <c r="D18" s="121">
        <v>9.26861251E8</v>
      </c>
      <c r="E18" s="142" t="s">
        <v>246</v>
      </c>
      <c r="F18" s="142" t="s">
        <v>247</v>
      </c>
      <c r="G18" s="145" t="s">
        <v>181</v>
      </c>
      <c r="H18" s="145" t="s">
        <v>182</v>
      </c>
      <c r="I18" s="94"/>
    </row>
    <row r="19" ht="22.5" customHeight="1">
      <c r="A19" s="90">
        <v>45892.0</v>
      </c>
      <c r="B19" s="120" t="s">
        <v>248</v>
      </c>
      <c r="C19" s="120" t="s">
        <v>249</v>
      </c>
      <c r="D19" s="121">
        <v>9.16436072E8</v>
      </c>
      <c r="E19" s="142" t="s">
        <v>250</v>
      </c>
      <c r="F19" s="142" t="s">
        <v>187</v>
      </c>
      <c r="G19" s="145" t="s">
        <v>181</v>
      </c>
      <c r="H19" s="145" t="s">
        <v>182</v>
      </c>
      <c r="I19" s="94"/>
    </row>
    <row r="20" ht="22.5" customHeight="1">
      <c r="A20" s="90">
        <v>45897.0</v>
      </c>
      <c r="B20" s="147" t="s">
        <v>251</v>
      </c>
      <c r="C20" s="120" t="s">
        <v>252</v>
      </c>
      <c r="D20" s="121">
        <v>9.2677072E8</v>
      </c>
      <c r="E20" s="120" t="s">
        <v>253</v>
      </c>
      <c r="F20" s="142" t="s">
        <v>187</v>
      </c>
      <c r="G20" s="145" t="s">
        <v>203</v>
      </c>
      <c r="H20" s="145" t="s">
        <v>182</v>
      </c>
      <c r="I20" s="142" t="s">
        <v>254</v>
      </c>
    </row>
    <row r="21" ht="22.5" customHeight="1">
      <c r="A21" s="90">
        <v>45898.0</v>
      </c>
      <c r="B21" s="121" t="s">
        <v>255</v>
      </c>
      <c r="C21" s="120" t="s">
        <v>256</v>
      </c>
      <c r="D21" s="121">
        <v>9.19322228E8</v>
      </c>
      <c r="E21" s="120" t="s">
        <v>257</v>
      </c>
      <c r="F21" s="142" t="s">
        <v>258</v>
      </c>
      <c r="G21" s="145" t="s">
        <v>181</v>
      </c>
      <c r="H21" s="145" t="s">
        <v>182</v>
      </c>
      <c r="I21" s="94"/>
    </row>
    <row r="22" ht="22.5" customHeight="1">
      <c r="A22" s="90">
        <v>45899.0</v>
      </c>
      <c r="B22" s="120" t="s">
        <v>259</v>
      </c>
      <c r="C22" s="142" t="s">
        <v>260</v>
      </c>
      <c r="D22" s="121">
        <v>9.26737125E8</v>
      </c>
      <c r="E22" s="120" t="s">
        <v>261</v>
      </c>
      <c r="F22" s="120" t="s">
        <v>262</v>
      </c>
      <c r="G22" s="145" t="s">
        <v>181</v>
      </c>
      <c r="H22" s="145" t="s">
        <v>182</v>
      </c>
      <c r="I22" s="94"/>
    </row>
    <row r="23" ht="22.5" customHeight="1">
      <c r="A23" s="90">
        <v>45899.0</v>
      </c>
      <c r="B23" s="120" t="s">
        <v>263</v>
      </c>
      <c r="C23" s="120" t="s">
        <v>264</v>
      </c>
      <c r="D23" s="121">
        <v>9.25058379E8</v>
      </c>
      <c r="E23" s="120" t="s">
        <v>265</v>
      </c>
      <c r="F23" s="120" t="s">
        <v>266</v>
      </c>
      <c r="G23" s="145" t="s">
        <v>181</v>
      </c>
      <c r="H23" s="145" t="s">
        <v>231</v>
      </c>
      <c r="I23" s="94"/>
    </row>
    <row r="24" ht="22.5" customHeight="1">
      <c r="A24" s="90">
        <v>45900.0</v>
      </c>
      <c r="B24" s="120" t="s">
        <v>267</v>
      </c>
      <c r="C24" s="129" t="s">
        <v>268</v>
      </c>
      <c r="D24" s="149">
        <v>9.14449901E8</v>
      </c>
      <c r="E24" s="94"/>
      <c r="F24" s="142" t="s">
        <v>230</v>
      </c>
      <c r="G24" s="145" t="s">
        <v>188</v>
      </c>
      <c r="H24" s="145" t="s">
        <v>182</v>
      </c>
      <c r="I24" s="129" t="s">
        <v>269</v>
      </c>
    </row>
    <row r="25" ht="22.5" customHeight="1">
      <c r="A25" s="90">
        <v>45900.0</v>
      </c>
      <c r="B25" s="120" t="s">
        <v>270</v>
      </c>
      <c r="C25" s="120" t="s">
        <v>271</v>
      </c>
      <c r="D25" s="121">
        <v>9.11135555E8</v>
      </c>
      <c r="E25" s="94"/>
      <c r="F25" s="142" t="s">
        <v>196</v>
      </c>
      <c r="G25" s="145" t="s">
        <v>181</v>
      </c>
      <c r="H25" s="145" t="s">
        <v>182</v>
      </c>
      <c r="I25" s="94"/>
    </row>
    <row r="26" ht="22.5" customHeight="1">
      <c r="A26" s="90">
        <v>45909.0</v>
      </c>
      <c r="B26" s="142" t="s">
        <v>272</v>
      </c>
      <c r="C26" s="142" t="s">
        <v>273</v>
      </c>
      <c r="D26" s="146">
        <v>9.1337923E8</v>
      </c>
      <c r="E26" s="142" t="s">
        <v>261</v>
      </c>
      <c r="F26" s="142" t="s">
        <v>187</v>
      </c>
      <c r="G26" s="145" t="s">
        <v>203</v>
      </c>
      <c r="H26" s="145" t="s">
        <v>182</v>
      </c>
      <c r="I26" s="142" t="s">
        <v>274</v>
      </c>
    </row>
  </sheetData>
  <conditionalFormatting sqref="A2">
    <cfRule type="timePeriod" dxfId="8" priority="1" timePeriod="today"/>
  </conditionalFormatting>
  <dataValidations>
    <dataValidation type="list" allowBlank="1" sqref="H2:H26">
      <formula1>"New Lead,Contacted,Interested	,Qualified,Waiting for Machine	,Agreement Done	,Installed,Not Suitable	,Follow-Up Later	"</formula1>
    </dataValidation>
    <dataValidation type="custom" allowBlank="1" showDropDown="1" sqref="K2:K10 A2:A26">
      <formula1>OR(NOT(ISERROR(DATEVALUE(A2))), AND(ISNUMBER(A2), LEFT(CELL("format", A2))="D"))</formula1>
    </dataValidation>
    <dataValidation type="list" allowBlank="1" sqref="G2:G26">
      <formula1>"High ,Medium ,Low,Rejected"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17.0"/>
    <col customWidth="1" min="3" max="3" width="19.43"/>
    <col customWidth="1" min="4" max="4" width="16.57"/>
    <col customWidth="1" min="5" max="20" width="8.71"/>
    <col customWidth="1" min="21" max="21" width="21.43"/>
    <col customWidth="1" min="22" max="22" width="17.71"/>
    <col customWidth="1" min="23" max="23" width="14.14"/>
    <col customWidth="1" min="24" max="24" width="11.14"/>
    <col customWidth="1" min="25" max="25" width="22.57"/>
    <col customWidth="1" min="26" max="26" width="19.71"/>
    <col customWidth="1" min="27" max="27" width="18.29"/>
    <col customWidth="1" min="28" max="29" width="16.86"/>
    <col customWidth="1" min="30" max="30" width="21.43"/>
    <col customWidth="1" min="31" max="31" width="17.71"/>
    <col customWidth="1" min="32" max="33" width="16.86"/>
    <col customWidth="1" min="34" max="34" width="22.57"/>
    <col customWidth="1" min="35" max="35" width="19.71"/>
    <col customWidth="1" min="36" max="36" width="18.29"/>
    <col customWidth="1" min="37" max="37" width="18.57"/>
  </cols>
  <sheetData>
    <row r="3" ht="22.5" customHeight="1">
      <c r="A3" s="20" t="s">
        <v>275</v>
      </c>
      <c r="B3" s="20" t="s">
        <v>276</v>
      </c>
      <c r="C3" s="20" t="s">
        <v>277</v>
      </c>
      <c r="D3" s="20" t="s">
        <v>278</v>
      </c>
    </row>
    <row r="4" ht="22.5" customHeight="1">
      <c r="A4" s="94" t="s">
        <v>279</v>
      </c>
      <c r="B4" s="94">
        <f t="shared" ref="B4:D4" si="1">sum(B12+B19)</f>
        <v>11471.33</v>
      </c>
      <c r="C4" s="94">
        <f t="shared" si="1"/>
        <v>19077</v>
      </c>
      <c r="D4" s="94">
        <f t="shared" si="1"/>
        <v>7873.99</v>
      </c>
    </row>
    <row r="5" ht="22.5" customHeight="1">
      <c r="A5" s="94" t="s">
        <v>280</v>
      </c>
      <c r="B5" s="94">
        <f t="shared" ref="B5:D5" si="2">sum(B13+B20)</f>
        <v>7066.064</v>
      </c>
      <c r="C5" s="94">
        <f t="shared" si="2"/>
        <v>10667</v>
      </c>
      <c r="D5" s="94">
        <f t="shared" si="2"/>
        <v>3600.936</v>
      </c>
    </row>
    <row r="6" ht="22.5" customHeight="1">
      <c r="A6" s="94" t="s">
        <v>281</v>
      </c>
      <c r="B6" s="94">
        <f t="shared" ref="B6:D6" si="3">sum(B14+B21)</f>
        <v>8419.47</v>
      </c>
      <c r="C6" s="94">
        <f t="shared" si="3"/>
        <v>13351</v>
      </c>
      <c r="D6" s="94">
        <f t="shared" si="3"/>
        <v>6639.04</v>
      </c>
    </row>
    <row r="7" ht="22.5" customHeight="1">
      <c r="A7" s="150" t="s">
        <v>282</v>
      </c>
      <c r="B7" s="151">
        <f t="shared" ref="B7:D7" si="4">SUM(B4:B6)</f>
        <v>26956.864</v>
      </c>
      <c r="C7" s="151">
        <f t="shared" si="4"/>
        <v>43095</v>
      </c>
      <c r="D7" s="151">
        <f t="shared" si="4"/>
        <v>18113.966</v>
      </c>
    </row>
    <row r="11" ht="22.5" customHeight="1">
      <c r="A11" s="95" t="s">
        <v>283</v>
      </c>
      <c r="B11" s="20" t="s">
        <v>276</v>
      </c>
      <c r="C11" s="20" t="s">
        <v>277</v>
      </c>
      <c r="D11" s="20" t="s">
        <v>278</v>
      </c>
      <c r="F11" s="117" t="s">
        <v>275</v>
      </c>
      <c r="G11" s="117" t="s">
        <v>276</v>
      </c>
      <c r="H11" s="117" t="s">
        <v>277</v>
      </c>
      <c r="I11" s="117" t="s">
        <v>278</v>
      </c>
      <c r="K11" s="117" t="s">
        <v>275</v>
      </c>
      <c r="L11" s="117" t="s">
        <v>276</v>
      </c>
      <c r="M11" s="117" t="s">
        <v>277</v>
      </c>
      <c r="N11" s="117" t="s">
        <v>278</v>
      </c>
      <c r="P11" s="95" t="s">
        <v>275</v>
      </c>
      <c r="Q11" s="95" t="s">
        <v>276</v>
      </c>
      <c r="R11" s="95" t="s">
        <v>277</v>
      </c>
      <c r="S11" s="95" t="s">
        <v>278</v>
      </c>
    </row>
    <row r="12" ht="22.5" customHeight="1">
      <c r="A12" s="123" t="s">
        <v>279</v>
      </c>
      <c r="B12" s="146">
        <f>(Drinks!N40)</f>
        <v>7541.61</v>
      </c>
      <c r="C12" s="146">
        <f>(Drinks!O40)</f>
        <v>12450</v>
      </c>
      <c r="D12" s="146">
        <f>(Drinks!P40)</f>
        <v>4908.39</v>
      </c>
      <c r="F12" s="152" t="s">
        <v>279</v>
      </c>
      <c r="G12" s="153">
        <f>(Drinks!N13)</f>
        <v>2665.95</v>
      </c>
      <c r="H12" s="153">
        <f>(Drinks!O13)</f>
        <v>4554</v>
      </c>
      <c r="I12" s="154">
        <f>(Drinks!P13)</f>
        <v>1888.05</v>
      </c>
      <c r="K12" s="146" t="s">
        <v>279</v>
      </c>
      <c r="L12" s="94">
        <f>(Drinks!N28)</f>
        <v>3077.34</v>
      </c>
      <c r="M12" s="94">
        <f>(Drinks!O28)</f>
        <v>5172</v>
      </c>
      <c r="N12" s="94">
        <f>(Drinks!P28)</f>
        <v>2094.66</v>
      </c>
      <c r="P12" s="123" t="s">
        <v>279</v>
      </c>
      <c r="Q12" s="155">
        <f>(Drinks!N38)</f>
        <v>1798.32</v>
      </c>
      <c r="R12" s="155">
        <f>(Drinks!O38)</f>
        <v>2724</v>
      </c>
      <c r="S12" s="155">
        <f>(Drinks!P38)</f>
        <v>925.68</v>
      </c>
    </row>
    <row r="13" ht="22.5" customHeight="1">
      <c r="A13" s="123" t="s">
        <v>280</v>
      </c>
      <c r="B13" s="94">
        <f>(Snacks!N41)</f>
        <v>2809.964</v>
      </c>
      <c r="C13" s="94">
        <f>(Snacks!O41)</f>
        <v>3946</v>
      </c>
      <c r="D13" s="94">
        <f>(Snacks!P41)</f>
        <v>1136.036</v>
      </c>
      <c r="F13" s="152" t="s">
        <v>280</v>
      </c>
      <c r="G13" s="153">
        <f>(Snacks!N15)</f>
        <v>1206.68</v>
      </c>
      <c r="H13" s="153">
        <f>(Snacks!O15)</f>
        <v>1700</v>
      </c>
      <c r="I13" s="154">
        <f>(Snacks!P15)</f>
        <v>493.32</v>
      </c>
      <c r="K13" s="146" t="s">
        <v>280</v>
      </c>
      <c r="L13" s="94">
        <f>(Snacks!N30)</f>
        <v>853.284</v>
      </c>
      <c r="M13" s="94">
        <f>(Snacks!O30)</f>
        <v>1214</v>
      </c>
      <c r="N13" s="94">
        <f>(Snacks!P30)</f>
        <v>360.716</v>
      </c>
      <c r="P13" s="123" t="s">
        <v>280</v>
      </c>
      <c r="Q13" s="155">
        <f>(Snacks!N39)</f>
        <v>750</v>
      </c>
      <c r="R13" s="155">
        <f>(Snacks!O39)</f>
        <v>1032</v>
      </c>
      <c r="S13" s="155">
        <f>(Snacks!P39)</f>
        <v>282</v>
      </c>
    </row>
    <row r="14" ht="22.5" customHeight="1">
      <c r="A14" s="123" t="s">
        <v>281</v>
      </c>
      <c r="B14" s="94">
        <f>(Chips!N31)</f>
        <v>1811.66</v>
      </c>
      <c r="C14" s="94">
        <f>(Chips!O31)</f>
        <v>2663</v>
      </c>
      <c r="D14" s="94">
        <f>(Chips!P32)</f>
        <v>2558.85</v>
      </c>
      <c r="F14" s="156" t="s">
        <v>281</v>
      </c>
      <c r="G14" s="157">
        <f>(Chips!N6)</f>
        <v>1519.8</v>
      </c>
      <c r="H14" s="157">
        <f>(Chips!O6)</f>
        <v>2118</v>
      </c>
      <c r="I14" s="158">
        <f>(Chips!P6)</f>
        <v>598.2</v>
      </c>
      <c r="K14" s="146" t="s">
        <v>281</v>
      </c>
      <c r="L14" s="94">
        <f>(Chips!N17)</f>
        <v>1513.69</v>
      </c>
      <c r="M14" s="94">
        <f>(Chips!O17)</f>
        <v>2623</v>
      </c>
      <c r="N14" s="94">
        <f>(Chips!P17)</f>
        <v>1109.31</v>
      </c>
      <c r="P14" s="123" t="s">
        <v>281</v>
      </c>
      <c r="Q14" s="155">
        <f>(Chips!N31)</f>
        <v>1811.66</v>
      </c>
      <c r="R14" s="155">
        <f>(Chips!O31)</f>
        <v>2663</v>
      </c>
      <c r="S14" s="155">
        <f>(Chips!P31)</f>
        <v>851.34</v>
      </c>
    </row>
    <row r="15" ht="22.5" customHeight="1">
      <c r="A15" s="123" t="s">
        <v>282</v>
      </c>
      <c r="B15" s="151">
        <f t="shared" ref="B15:D15" si="5">SUM(B12:B14)</f>
        <v>12163.234</v>
      </c>
      <c r="C15" s="151">
        <f t="shared" si="5"/>
        <v>19059</v>
      </c>
      <c r="D15" s="151">
        <f t="shared" si="5"/>
        <v>8603.276</v>
      </c>
      <c r="F15" s="11" t="s">
        <v>282</v>
      </c>
      <c r="G15" s="159">
        <f t="shared" ref="G15:I15" si="6">SUM(G12:G14)</f>
        <v>5392.43</v>
      </c>
      <c r="H15" s="159">
        <f t="shared" si="6"/>
        <v>8372</v>
      </c>
      <c r="I15" s="159">
        <f t="shared" si="6"/>
        <v>2979.57</v>
      </c>
      <c r="K15" s="11" t="s">
        <v>282</v>
      </c>
      <c r="L15" s="159">
        <f t="shared" ref="L15:N15" si="7">SUM(L12:L14)</f>
        <v>5444.314</v>
      </c>
      <c r="M15" s="159">
        <f t="shared" si="7"/>
        <v>9009</v>
      </c>
      <c r="N15" s="159">
        <f t="shared" si="7"/>
        <v>3564.686</v>
      </c>
      <c r="P15" s="103" t="s">
        <v>282</v>
      </c>
      <c r="Q15" s="104">
        <f t="shared" ref="Q15:S15" si="8">SUM(Q12:Q14)</f>
        <v>4359.98</v>
      </c>
      <c r="R15" s="104">
        <f t="shared" si="8"/>
        <v>6419</v>
      </c>
      <c r="S15" s="104">
        <f t="shared" si="8"/>
        <v>2059.02</v>
      </c>
    </row>
    <row r="18" ht="22.5" customHeight="1">
      <c r="A18" s="95" t="s">
        <v>283</v>
      </c>
      <c r="B18" s="95" t="s">
        <v>284</v>
      </c>
      <c r="C18" s="95" t="s">
        <v>285</v>
      </c>
      <c r="D18" s="95" t="s">
        <v>130</v>
      </c>
      <c r="F18" s="117" t="s">
        <v>275</v>
      </c>
      <c r="G18" s="117" t="s">
        <v>276</v>
      </c>
      <c r="H18" s="117" t="s">
        <v>277</v>
      </c>
      <c r="I18" s="117" t="s">
        <v>278</v>
      </c>
      <c r="K18" s="117" t="s">
        <v>275</v>
      </c>
      <c r="L18" s="117" t="s">
        <v>276</v>
      </c>
      <c r="M18" s="117" t="s">
        <v>277</v>
      </c>
      <c r="N18" s="117" t="s">
        <v>278</v>
      </c>
      <c r="P18" s="117" t="s">
        <v>275</v>
      </c>
      <c r="Q18" s="117" t="s">
        <v>276</v>
      </c>
      <c r="R18" s="117" t="s">
        <v>277</v>
      </c>
      <c r="S18" s="117" t="s">
        <v>278</v>
      </c>
      <c r="U18" s="160" t="s">
        <v>286</v>
      </c>
      <c r="V18" s="160" t="s">
        <v>287</v>
      </c>
      <c r="W18" s="160" t="s">
        <v>288</v>
      </c>
      <c r="X18" s="160" t="s">
        <v>138</v>
      </c>
      <c r="Y18" s="160" t="s">
        <v>289</v>
      </c>
      <c r="Z18" s="160" t="s">
        <v>290</v>
      </c>
      <c r="AA18" s="160" t="s">
        <v>291</v>
      </c>
      <c r="AB18" s="160" t="s">
        <v>292</v>
      </c>
      <c r="AD18" s="160" t="s">
        <v>286</v>
      </c>
      <c r="AE18" s="160" t="s">
        <v>287</v>
      </c>
      <c r="AF18" s="160" t="s">
        <v>288</v>
      </c>
      <c r="AG18" s="160" t="s">
        <v>138</v>
      </c>
      <c r="AH18" s="160" t="s">
        <v>289</v>
      </c>
      <c r="AI18" s="160" t="s">
        <v>290</v>
      </c>
      <c r="AJ18" s="160" t="s">
        <v>291</v>
      </c>
      <c r="AK18" s="160" t="s">
        <v>292</v>
      </c>
    </row>
    <row r="19" ht="22.5" customHeight="1">
      <c r="A19" s="123" t="s">
        <v>279</v>
      </c>
      <c r="B19" s="146">
        <f>(Drinks!N108)</f>
        <v>3929.72</v>
      </c>
      <c r="C19" s="146">
        <f>(Drinks!O108)</f>
        <v>6627</v>
      </c>
      <c r="D19" s="146">
        <f>(Drinks!P108)</f>
        <v>2965.6</v>
      </c>
      <c r="F19" s="152" t="s">
        <v>279</v>
      </c>
      <c r="G19" s="153">
        <f>(Drinks!N57)</f>
        <v>1638.68</v>
      </c>
      <c r="H19" s="153">
        <f>(Drinks!O57)</f>
        <v>2799</v>
      </c>
      <c r="I19" s="153">
        <f>(Drinks!P57)</f>
        <v>1160.32</v>
      </c>
      <c r="K19" s="152" t="s">
        <v>279</v>
      </c>
      <c r="L19" s="153">
        <f>(Drinks!N74)</f>
        <v>1027.2</v>
      </c>
      <c r="M19" s="153">
        <f>(Drinks!O74)</f>
        <v>1656</v>
      </c>
      <c r="N19" s="153">
        <f>(Drinks!P74)</f>
        <v>897.12</v>
      </c>
      <c r="P19" s="152" t="s">
        <v>279</v>
      </c>
      <c r="Q19" s="153">
        <f>(Drinks!N90)</f>
        <v>1263.84</v>
      </c>
      <c r="R19" s="153">
        <f>(Drinks!O90)</f>
        <v>2172</v>
      </c>
      <c r="S19" s="153">
        <f>(Drinks!P90)</f>
        <v>908.16</v>
      </c>
      <c r="U19" s="161" t="s">
        <v>293</v>
      </c>
      <c r="V19" s="162">
        <v>712.0</v>
      </c>
      <c r="W19" s="162">
        <v>712.0</v>
      </c>
      <c r="X19" s="162">
        <v>497.88</v>
      </c>
      <c r="Y19" s="163">
        <v>0.6993</v>
      </c>
      <c r="Z19" s="163">
        <v>0.0501</v>
      </c>
      <c r="AA19" s="162">
        <v>712.0</v>
      </c>
      <c r="AB19" s="162">
        <v>712.0</v>
      </c>
      <c r="AD19" s="161" t="s">
        <v>293</v>
      </c>
      <c r="AE19" s="162">
        <v>416.0</v>
      </c>
      <c r="AF19" s="162">
        <v>412.0</v>
      </c>
      <c r="AG19" s="162">
        <v>296.52</v>
      </c>
      <c r="AH19" s="163">
        <v>0.7128</v>
      </c>
      <c r="AI19" s="163">
        <v>0.059</v>
      </c>
      <c r="AJ19" s="162">
        <v>416.0</v>
      </c>
      <c r="AK19" s="162">
        <v>412.0</v>
      </c>
    </row>
    <row r="20" ht="22.5" customHeight="1">
      <c r="A20" s="123" t="s">
        <v>280</v>
      </c>
      <c r="B20" s="94">
        <f>(Snacks!N104)</f>
        <v>4256.1</v>
      </c>
      <c r="C20" s="94">
        <f>(Snacks!O104)</f>
        <v>6721</v>
      </c>
      <c r="D20" s="94">
        <f>(Snacks!P104)</f>
        <v>2464.9</v>
      </c>
      <c r="F20" s="152" t="s">
        <v>280</v>
      </c>
      <c r="G20" s="153">
        <f>(Snacks!N53)</f>
        <v>742.68</v>
      </c>
      <c r="H20" s="153">
        <f>(Snacks!O53)</f>
        <v>1133</v>
      </c>
      <c r="I20" s="153">
        <f>(Snacks!P53)</f>
        <v>390.32</v>
      </c>
      <c r="K20" s="152" t="s">
        <v>280</v>
      </c>
      <c r="L20" s="153">
        <f>(Snacks!N67)</f>
        <v>1368.24</v>
      </c>
      <c r="M20" s="153">
        <f>(Snacks!O67)</f>
        <v>2262</v>
      </c>
      <c r="N20" s="153">
        <f>(Snacks!P67)</f>
        <v>893.76</v>
      </c>
      <c r="P20" s="152" t="s">
        <v>280</v>
      </c>
      <c r="Q20" s="153">
        <f>(Snacks!N84)</f>
        <v>2145.18</v>
      </c>
      <c r="R20" s="153">
        <f>(Snacks!O84)</f>
        <v>3326</v>
      </c>
      <c r="S20" s="153">
        <f>(Snacks!P84)</f>
        <v>1180.82</v>
      </c>
      <c r="U20" s="161" t="s">
        <v>294</v>
      </c>
      <c r="V20" s="162">
        <v>2972.0</v>
      </c>
      <c r="W20" s="162">
        <v>1242.0</v>
      </c>
      <c r="X20" s="162">
        <v>944.62</v>
      </c>
      <c r="Y20" s="163">
        <v>0.3178</v>
      </c>
      <c r="Z20" s="163">
        <v>0.2092</v>
      </c>
      <c r="AA20" s="162">
        <v>2972.0</v>
      </c>
      <c r="AB20" s="162">
        <v>1242.0</v>
      </c>
      <c r="AD20" s="161" t="s">
        <v>295</v>
      </c>
      <c r="AE20" s="162">
        <v>1646.0</v>
      </c>
      <c r="AF20" s="162">
        <v>687.0</v>
      </c>
      <c r="AG20" s="162">
        <v>638.78</v>
      </c>
      <c r="AH20" s="163">
        <v>0.3881</v>
      </c>
      <c r="AI20" s="163">
        <v>0.2336</v>
      </c>
      <c r="AJ20" s="162">
        <v>1646.0</v>
      </c>
      <c r="AK20" s="162">
        <v>687.0</v>
      </c>
    </row>
    <row r="21" ht="15.75" customHeight="1">
      <c r="A21" s="123" t="s">
        <v>281</v>
      </c>
      <c r="B21" s="94">
        <f>(Chips!N80)</f>
        <v>6607.81</v>
      </c>
      <c r="C21" s="94">
        <f>(Chips!O80)</f>
        <v>10688</v>
      </c>
      <c r="D21" s="94">
        <f>(Chips!P80)</f>
        <v>4080.19</v>
      </c>
      <c r="F21" s="156" t="s">
        <v>281</v>
      </c>
      <c r="G21" s="157">
        <f>(Chips!N47)</f>
        <v>1986.63</v>
      </c>
      <c r="H21" s="157">
        <f>(Chips!O47)</f>
        <v>3429</v>
      </c>
      <c r="I21" s="157">
        <f>(Chips!P47)</f>
        <v>1442.37</v>
      </c>
      <c r="K21" s="156" t="s">
        <v>281</v>
      </c>
      <c r="L21" s="157">
        <f>(Chips!N58)</f>
        <v>2251.36</v>
      </c>
      <c r="M21" s="157">
        <f>(Chips!O58)</f>
        <v>3446</v>
      </c>
      <c r="N21" s="157">
        <f>(Chips!P58)</f>
        <v>1194.64</v>
      </c>
      <c r="P21" s="156" t="s">
        <v>281</v>
      </c>
      <c r="Q21" s="157">
        <f>(Chips!N69)</f>
        <v>2369.82</v>
      </c>
      <c r="R21" s="157">
        <f>(Chips!O69)</f>
        <v>3813</v>
      </c>
      <c r="S21" s="157">
        <f>(Chips!P69)</f>
        <v>1443.18</v>
      </c>
      <c r="U21" s="161" t="s">
        <v>295</v>
      </c>
      <c r="V21" s="162">
        <v>3418.0</v>
      </c>
      <c r="W21" s="162">
        <v>1328.0</v>
      </c>
      <c r="X21" s="162">
        <v>1273.17</v>
      </c>
      <c r="Y21" s="163">
        <v>0.3725</v>
      </c>
      <c r="Z21" s="163">
        <v>0.2406</v>
      </c>
      <c r="AA21" s="162">
        <v>3418.0</v>
      </c>
      <c r="AB21" s="162">
        <v>1328.0</v>
      </c>
      <c r="AD21" s="161" t="s">
        <v>294</v>
      </c>
      <c r="AE21" s="162">
        <v>1969.0</v>
      </c>
      <c r="AF21" s="162">
        <v>726.0</v>
      </c>
      <c r="AG21" s="162">
        <v>619.41</v>
      </c>
      <c r="AH21" s="163">
        <v>0.3146</v>
      </c>
      <c r="AI21" s="163">
        <v>0.2794</v>
      </c>
      <c r="AJ21" s="162">
        <v>1969.0</v>
      </c>
      <c r="AK21" s="162">
        <v>726.0</v>
      </c>
    </row>
    <row r="22" ht="15.75" customHeight="1">
      <c r="A22" s="123" t="s">
        <v>282</v>
      </c>
      <c r="B22" s="151">
        <f t="shared" ref="B22:D22" si="9">SUM(B19:B21)</f>
        <v>14793.63</v>
      </c>
      <c r="C22" s="151">
        <f t="shared" si="9"/>
        <v>24036</v>
      </c>
      <c r="D22" s="151">
        <f t="shared" si="9"/>
        <v>9510.69</v>
      </c>
      <c r="F22" s="11" t="s">
        <v>282</v>
      </c>
      <c r="G22" s="159">
        <f t="shared" ref="G22:I22" si="10">SUM(G19:G21)</f>
        <v>4367.99</v>
      </c>
      <c r="H22" s="159">
        <f t="shared" si="10"/>
        <v>7361</v>
      </c>
      <c r="I22" s="159">
        <f t="shared" si="10"/>
        <v>2993.01</v>
      </c>
      <c r="K22" s="11" t="s">
        <v>282</v>
      </c>
      <c r="L22" s="159">
        <f t="shared" ref="L22:N22" si="11">SUM(L19:L21)</f>
        <v>4646.8</v>
      </c>
      <c r="M22" s="159">
        <f t="shared" si="11"/>
        <v>7364</v>
      </c>
      <c r="N22" s="159">
        <f t="shared" si="11"/>
        <v>2985.52</v>
      </c>
      <c r="P22" s="11" t="s">
        <v>282</v>
      </c>
      <c r="Q22" s="159">
        <f t="shared" ref="Q22:S22" si="12">SUM(Q19:Q21)</f>
        <v>5778.84</v>
      </c>
      <c r="R22" s="159">
        <f t="shared" si="12"/>
        <v>9311</v>
      </c>
      <c r="S22" s="159">
        <f t="shared" si="12"/>
        <v>3532.16</v>
      </c>
      <c r="U22" s="161" t="s">
        <v>281</v>
      </c>
      <c r="V22" s="162">
        <v>7102.0</v>
      </c>
      <c r="W22" s="162">
        <v>1551.0</v>
      </c>
      <c r="X22" s="162">
        <v>3122.8</v>
      </c>
      <c r="Y22" s="163">
        <v>0.4397</v>
      </c>
      <c r="Z22" s="163">
        <v>0.5</v>
      </c>
      <c r="AA22" s="162">
        <v>7102.0</v>
      </c>
      <c r="AB22" s="162">
        <v>1551.0</v>
      </c>
      <c r="AD22" s="161" t="s">
        <v>281</v>
      </c>
      <c r="AE22" s="162">
        <v>3016.0</v>
      </c>
      <c r="AF22" s="162">
        <v>589.0</v>
      </c>
      <c r="AG22" s="162">
        <v>1337.06</v>
      </c>
      <c r="AH22" s="163">
        <v>0.4433</v>
      </c>
      <c r="AI22" s="163">
        <v>0.428</v>
      </c>
      <c r="AJ22" s="162">
        <v>3016.0</v>
      </c>
      <c r="AK22" s="162">
        <v>589.0</v>
      </c>
    </row>
    <row r="23" ht="15.75" customHeight="1">
      <c r="U23" s="161" t="s">
        <v>282</v>
      </c>
      <c r="V23" s="164">
        <v>15847.0</v>
      </c>
      <c r="W23" s="162">
        <v>4833.0</v>
      </c>
      <c r="X23" s="164">
        <v>6513.117</v>
      </c>
      <c r="Y23" s="163">
        <v>0.411</v>
      </c>
      <c r="Z23" s="163">
        <v>1.0</v>
      </c>
      <c r="AA23" s="162">
        <v>14204.0</v>
      </c>
      <c r="AB23" s="162">
        <v>4833.0</v>
      </c>
      <c r="AD23" s="161" t="s">
        <v>282</v>
      </c>
      <c r="AE23" s="162">
        <v>7047.0</v>
      </c>
      <c r="AF23" s="162">
        <v>2414.0</v>
      </c>
      <c r="AG23" s="162">
        <v>2891.77</v>
      </c>
      <c r="AH23" s="163">
        <v>0.4104</v>
      </c>
      <c r="AI23" s="163">
        <v>1.0</v>
      </c>
      <c r="AJ23" s="162">
        <v>7047.0</v>
      </c>
      <c r="AK23" s="162">
        <v>2414.0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Y19:Z23 AH19:AI23">
      <formula1>AND(ISNUMBER(Y19),(NOT(OR(NOT(ISERROR(DATEVALUE(Y19))), AND(ISNUMBER(Y19), LEFT(CELL("format", Y19))="D")))))</formula1>
    </dataValidation>
  </dataValidation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5.14"/>
  </cols>
  <sheetData>
    <row r="4" ht="22.5" customHeight="1">
      <c r="A4" s="95" t="s">
        <v>9</v>
      </c>
      <c r="B4" s="95" t="s">
        <v>296</v>
      </c>
    </row>
    <row r="5" ht="22.5" customHeight="1">
      <c r="A5" s="118">
        <v>45705.0</v>
      </c>
      <c r="B5" s="119" t="s">
        <v>297</v>
      </c>
    </row>
    <row r="6" ht="22.5" customHeight="1">
      <c r="A6" s="118">
        <v>45708.0</v>
      </c>
    </row>
    <row r="7" ht="22.5" customHeight="1">
      <c r="A7" s="118">
        <v>45714.0</v>
      </c>
    </row>
    <row r="8" ht="22.5" customHeight="1">
      <c r="A8" s="118">
        <v>45716.0</v>
      </c>
    </row>
    <row r="9" ht="22.5" customHeight="1">
      <c r="A9" s="118">
        <v>45724.0</v>
      </c>
    </row>
    <row r="10" ht="22.5" customHeight="1">
      <c r="A10" s="118">
        <v>45728.0</v>
      </c>
    </row>
    <row r="11" ht="22.5" customHeight="1">
      <c r="A11" s="118">
        <v>45729.0</v>
      </c>
    </row>
    <row r="12" ht="22.5" customHeight="1">
      <c r="A12" s="118">
        <v>45732.0</v>
      </c>
    </row>
    <row r="13" ht="22.5" customHeight="1">
      <c r="A13" s="118">
        <v>45733.0</v>
      </c>
    </row>
    <row r="14" ht="22.5" customHeight="1">
      <c r="A14" s="118">
        <v>45735.0</v>
      </c>
    </row>
    <row r="15" ht="22.5" customHeight="1">
      <c r="A15" s="118">
        <v>45736.0</v>
      </c>
    </row>
    <row r="16" ht="22.5" customHeight="1">
      <c r="A16" s="118">
        <v>45738.0</v>
      </c>
    </row>
    <row r="17" ht="22.5" customHeight="1">
      <c r="A17" s="118">
        <v>45741.0</v>
      </c>
    </row>
    <row r="18" ht="22.5" customHeight="1">
      <c r="A18" s="118">
        <v>45742.0</v>
      </c>
    </row>
    <row r="19" ht="22.5" customHeight="1">
      <c r="A19" s="118">
        <v>45745.0</v>
      </c>
    </row>
    <row r="20" ht="22.5" customHeight="1">
      <c r="A20" s="90">
        <v>45746.0</v>
      </c>
      <c r="B20" s="94"/>
    </row>
    <row r="21" ht="22.5" customHeight="1">
      <c r="A21" s="90">
        <v>45749.0</v>
      </c>
      <c r="B21" s="94"/>
    </row>
    <row r="22" ht="22.5" customHeight="1">
      <c r="A22" s="90">
        <v>45750.0</v>
      </c>
      <c r="B22" s="94"/>
    </row>
    <row r="23" ht="22.5" customHeight="1">
      <c r="A23" s="90">
        <v>45752.0</v>
      </c>
      <c r="B23" s="94"/>
    </row>
    <row r="24" ht="22.5" customHeight="1">
      <c r="A24" s="90">
        <v>45757.0</v>
      </c>
      <c r="B24" s="94"/>
    </row>
    <row r="25" ht="22.5" customHeight="1">
      <c r="A25" s="90">
        <v>45759.0</v>
      </c>
      <c r="B25" s="94"/>
    </row>
    <row r="26" ht="22.5" customHeight="1">
      <c r="A26" s="90">
        <v>45764.0</v>
      </c>
      <c r="B26" s="94"/>
    </row>
    <row r="27" ht="22.5" customHeight="1">
      <c r="A27" s="90">
        <v>45766.0</v>
      </c>
      <c r="B27" s="94"/>
    </row>
    <row r="28" ht="22.5" customHeight="1">
      <c r="A28" s="90">
        <v>45768.0</v>
      </c>
      <c r="B28" s="94"/>
    </row>
    <row r="29" ht="22.5" customHeight="1">
      <c r="A29" s="90">
        <v>45770.0</v>
      </c>
      <c r="B29" s="94"/>
    </row>
    <row r="30" ht="22.5" customHeight="1">
      <c r="A30" s="90">
        <v>45773.0</v>
      </c>
      <c r="B30" s="94"/>
    </row>
    <row r="31" ht="22.5" customHeight="1">
      <c r="A31" s="90"/>
      <c r="B31" s="94"/>
    </row>
    <row r="32" ht="22.5" customHeight="1">
      <c r="A32" s="90"/>
      <c r="B32" s="94"/>
    </row>
    <row r="33" ht="22.5" customHeight="1">
      <c r="A33" s="90"/>
      <c r="B33" s="94"/>
    </row>
    <row r="34" ht="22.5" customHeight="1">
      <c r="A34" s="90"/>
      <c r="B34" s="94"/>
    </row>
    <row r="35" ht="22.5" customHeight="1">
      <c r="A35" s="90"/>
      <c r="B35" s="94"/>
    </row>
  </sheetData>
  <dataValidations>
    <dataValidation type="custom" allowBlank="1" showDropDown="1" sqref="A5:A35">
      <formula1>OR(NOT(ISERROR(DATEVALUE(A5))), AND(ISNUMBER(A5), LEFT(CELL("format", A5))="D"))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19.71"/>
    <col customWidth="1" min="4" max="4" width="17.14"/>
    <col customWidth="1" min="5" max="5" width="18.29"/>
    <col customWidth="1" min="6" max="6" width="25.43"/>
    <col customWidth="1" min="7" max="7" width="18.71"/>
    <col customWidth="1" min="8" max="8" width="24.29"/>
    <col customWidth="1" min="9" max="9" width="22.0"/>
    <col customWidth="1" min="10" max="10" width="21.0"/>
    <col customWidth="1" min="11" max="11" width="19.57"/>
    <col customWidth="1" min="12" max="12" width="17.29"/>
    <col customWidth="1" min="13" max="14" width="8.71"/>
    <col customWidth="1" min="15" max="15" width="14.43"/>
    <col customWidth="1" min="16" max="17" width="12.14"/>
  </cols>
  <sheetData>
    <row r="1" ht="22.5" customHeight="1">
      <c r="A1" s="20" t="s">
        <v>298</v>
      </c>
      <c r="B1" s="21" t="s">
        <v>299</v>
      </c>
      <c r="C1" s="21" t="s">
        <v>300</v>
      </c>
      <c r="D1" s="20" t="s">
        <v>301</v>
      </c>
      <c r="E1" s="20" t="s">
        <v>302</v>
      </c>
      <c r="F1" s="20" t="s">
        <v>303</v>
      </c>
      <c r="G1" s="21" t="s">
        <v>304</v>
      </c>
      <c r="H1" s="21" t="s">
        <v>305</v>
      </c>
      <c r="I1" s="20" t="s">
        <v>306</v>
      </c>
      <c r="J1" s="21" t="s">
        <v>307</v>
      </c>
      <c r="K1" s="20" t="s">
        <v>308</v>
      </c>
      <c r="L1" s="165" t="s">
        <v>309</v>
      </c>
      <c r="M1" s="20" t="s">
        <v>310</v>
      </c>
      <c r="N1" s="20" t="s">
        <v>311</v>
      </c>
      <c r="O1" s="20" t="s">
        <v>33</v>
      </c>
      <c r="P1" s="20" t="s">
        <v>312</v>
      </c>
      <c r="Q1" s="20" t="s">
        <v>313</v>
      </c>
    </row>
    <row r="2" ht="22.5" customHeight="1">
      <c r="A2" s="166" t="s">
        <v>293</v>
      </c>
      <c r="B2" s="166">
        <v>133.0</v>
      </c>
      <c r="C2" s="166">
        <v>12.0</v>
      </c>
      <c r="D2" s="166">
        <f>(B2*C2)</f>
        <v>1596</v>
      </c>
      <c r="E2" s="166">
        <v>0.3</v>
      </c>
      <c r="F2" s="166">
        <v>1.0</v>
      </c>
      <c r="G2" s="166" t="str">
        <f t="shared" ref="G2:G38" si="1">((F2-E2)/F2)*100 &amp; "%"</f>
        <v>70%</v>
      </c>
      <c r="H2" s="166">
        <v>133.0</v>
      </c>
      <c r="I2" s="166">
        <f t="shared" ref="I2:I8" si="2">(C2*H2)</f>
        <v>1596</v>
      </c>
      <c r="J2" s="166">
        <v>0.0</v>
      </c>
      <c r="K2" s="166">
        <f t="shared" ref="K2:K79" si="3">(C2*J2)</f>
        <v>0</v>
      </c>
      <c r="L2" s="167">
        <f>(B2+J2-H2)</f>
        <v>0</v>
      </c>
      <c r="M2" s="168">
        <f t="shared" ref="M2:M38" si="4">(D2+K2)-I2</f>
        <v>0</v>
      </c>
      <c r="N2" s="168">
        <f t="shared" ref="N2:N12" si="5">(D2 + K2 - M2) * E2</f>
        <v>478.8</v>
      </c>
      <c r="O2" s="168">
        <f t="shared" ref="O2:O12" si="6">(I2*F2)</f>
        <v>1596</v>
      </c>
      <c r="P2" s="168">
        <f t="shared" ref="P2:P12" si="7">(O2-N2)</f>
        <v>1117.2</v>
      </c>
      <c r="Q2" s="169">
        <v>8.0</v>
      </c>
    </row>
    <row r="3" ht="22.5" customHeight="1">
      <c r="A3" s="170" t="s">
        <v>314</v>
      </c>
      <c r="B3" s="170">
        <v>5.0</v>
      </c>
      <c r="C3" s="170">
        <v>24.0</v>
      </c>
      <c r="D3" s="170">
        <v>120.0</v>
      </c>
      <c r="E3" s="170">
        <v>2.58</v>
      </c>
      <c r="F3" s="168">
        <v>3.0</v>
      </c>
      <c r="G3" s="170" t="str">
        <f t="shared" si="1"/>
        <v>14.%</v>
      </c>
      <c r="H3" s="170">
        <v>5.0</v>
      </c>
      <c r="I3" s="166">
        <f t="shared" si="2"/>
        <v>120</v>
      </c>
      <c r="J3" s="170"/>
      <c r="K3" s="166">
        <f t="shared" si="3"/>
        <v>0</v>
      </c>
      <c r="L3" s="167"/>
      <c r="M3" s="168">
        <f t="shared" si="4"/>
        <v>0</v>
      </c>
      <c r="N3" s="168">
        <f t="shared" si="5"/>
        <v>309.6</v>
      </c>
      <c r="O3" s="168">
        <f t="shared" si="6"/>
        <v>360</v>
      </c>
      <c r="P3" s="168">
        <f t="shared" si="7"/>
        <v>50.4</v>
      </c>
      <c r="Q3" s="169">
        <v>8.0</v>
      </c>
    </row>
    <row r="4" ht="22.5" customHeight="1">
      <c r="A4" s="166" t="s">
        <v>315</v>
      </c>
      <c r="B4" s="166">
        <v>9.0</v>
      </c>
      <c r="C4" s="166">
        <v>24.0</v>
      </c>
      <c r="D4" s="166">
        <v>216.0</v>
      </c>
      <c r="E4" s="166">
        <v>2.91</v>
      </c>
      <c r="F4" s="166">
        <v>4.0</v>
      </c>
      <c r="G4" s="166" t="str">
        <f t="shared" si="1"/>
        <v>27.25%</v>
      </c>
      <c r="H4" s="166">
        <v>9.0</v>
      </c>
      <c r="I4" s="166">
        <f t="shared" si="2"/>
        <v>216</v>
      </c>
      <c r="J4" s="166">
        <v>0.0</v>
      </c>
      <c r="K4" s="166">
        <f t="shared" si="3"/>
        <v>0</v>
      </c>
      <c r="L4" s="171">
        <f>(B4+J4-H4)</f>
        <v>0</v>
      </c>
      <c r="M4" s="172">
        <f t="shared" si="4"/>
        <v>0</v>
      </c>
      <c r="N4" s="172">
        <f t="shared" si="5"/>
        <v>628.56</v>
      </c>
      <c r="O4" s="172">
        <f t="shared" si="6"/>
        <v>864</v>
      </c>
      <c r="P4" s="172">
        <f t="shared" si="7"/>
        <v>235.44</v>
      </c>
      <c r="Q4" s="169">
        <v>8.0</v>
      </c>
    </row>
    <row r="5" ht="22.5" customHeight="1">
      <c r="A5" s="166" t="s">
        <v>316</v>
      </c>
      <c r="B5" s="166">
        <v>4.0</v>
      </c>
      <c r="C5" s="166">
        <v>24.0</v>
      </c>
      <c r="D5" s="166">
        <f t="shared" ref="D5:D6" si="8">B5*C5</f>
        <v>96</v>
      </c>
      <c r="E5" s="166">
        <v>1.75</v>
      </c>
      <c r="F5" s="166">
        <v>2.0</v>
      </c>
      <c r="G5" s="166" t="str">
        <f t="shared" si="1"/>
        <v>12.5%</v>
      </c>
      <c r="H5" s="166">
        <v>4.0</v>
      </c>
      <c r="I5" s="166">
        <f t="shared" si="2"/>
        <v>96</v>
      </c>
      <c r="J5" s="166">
        <v>0.0</v>
      </c>
      <c r="K5" s="166">
        <f t="shared" si="3"/>
        <v>0</v>
      </c>
      <c r="L5" s="171"/>
      <c r="M5" s="172">
        <f t="shared" si="4"/>
        <v>0</v>
      </c>
      <c r="N5" s="172">
        <f t="shared" si="5"/>
        <v>168</v>
      </c>
      <c r="O5" s="172">
        <f t="shared" si="6"/>
        <v>192</v>
      </c>
      <c r="P5" s="172">
        <f t="shared" si="7"/>
        <v>24</v>
      </c>
      <c r="Q5" s="169">
        <v>8.0</v>
      </c>
    </row>
    <row r="6" ht="22.5" customHeight="1">
      <c r="A6" s="166" t="s">
        <v>317</v>
      </c>
      <c r="B6" s="166">
        <v>3.0</v>
      </c>
      <c r="C6" s="166">
        <v>24.0</v>
      </c>
      <c r="D6" s="166">
        <f t="shared" si="8"/>
        <v>72</v>
      </c>
      <c r="E6" s="166">
        <v>2.5</v>
      </c>
      <c r="F6" s="166">
        <v>3.0</v>
      </c>
      <c r="G6" s="166" t="str">
        <f t="shared" si="1"/>
        <v>16.6666666666667%</v>
      </c>
      <c r="H6" s="166">
        <v>3.0</v>
      </c>
      <c r="I6" s="166">
        <f t="shared" si="2"/>
        <v>72</v>
      </c>
      <c r="J6" s="166">
        <v>0.0</v>
      </c>
      <c r="K6" s="166">
        <f t="shared" si="3"/>
        <v>0</v>
      </c>
      <c r="L6" s="171"/>
      <c r="M6" s="172">
        <f t="shared" si="4"/>
        <v>0</v>
      </c>
      <c r="N6" s="172">
        <f t="shared" si="5"/>
        <v>180</v>
      </c>
      <c r="O6" s="172">
        <f t="shared" si="6"/>
        <v>216</v>
      </c>
      <c r="P6" s="172">
        <f t="shared" si="7"/>
        <v>36</v>
      </c>
      <c r="Q6" s="169">
        <v>8.0</v>
      </c>
    </row>
    <row r="7" ht="22.5" customHeight="1">
      <c r="A7" s="173" t="s">
        <v>318</v>
      </c>
      <c r="B7" s="173">
        <v>1.0</v>
      </c>
      <c r="C7" s="174">
        <v>24.0</v>
      </c>
      <c r="D7" s="175">
        <f t="shared" ref="D7:D8" si="9">(B7*C7)</f>
        <v>24</v>
      </c>
      <c r="E7" s="176">
        <v>8.54</v>
      </c>
      <c r="F7" s="175">
        <v>10.0</v>
      </c>
      <c r="G7" s="175" t="str">
        <f t="shared" si="1"/>
        <v>14.6%</v>
      </c>
      <c r="H7" s="175">
        <v>1.0</v>
      </c>
      <c r="I7" s="175">
        <f t="shared" si="2"/>
        <v>24</v>
      </c>
      <c r="J7" s="175"/>
      <c r="K7" s="166">
        <f t="shared" si="3"/>
        <v>0</v>
      </c>
      <c r="L7" s="177">
        <v>0.0</v>
      </c>
      <c r="M7" s="178">
        <f t="shared" si="4"/>
        <v>0</v>
      </c>
      <c r="N7" s="178">
        <f t="shared" si="5"/>
        <v>204.96</v>
      </c>
      <c r="O7" s="178">
        <f t="shared" si="6"/>
        <v>240</v>
      </c>
      <c r="P7" s="178">
        <f t="shared" si="7"/>
        <v>35.04</v>
      </c>
      <c r="Q7" s="169">
        <v>8.0</v>
      </c>
    </row>
    <row r="8" ht="22.5" customHeight="1">
      <c r="A8" s="179" t="s">
        <v>319</v>
      </c>
      <c r="B8" s="173">
        <v>30.0</v>
      </c>
      <c r="C8" s="174">
        <v>24.0</v>
      </c>
      <c r="D8" s="175">
        <f t="shared" si="9"/>
        <v>720</v>
      </c>
      <c r="E8" s="175">
        <v>0.6</v>
      </c>
      <c r="F8" s="175">
        <v>1.0</v>
      </c>
      <c r="G8" s="175" t="str">
        <f t="shared" si="1"/>
        <v>40%</v>
      </c>
      <c r="H8" s="175">
        <v>30.0</v>
      </c>
      <c r="I8" s="175">
        <f t="shared" si="2"/>
        <v>720</v>
      </c>
      <c r="J8" s="175">
        <v>0.0</v>
      </c>
      <c r="K8" s="166">
        <f t="shared" si="3"/>
        <v>0</v>
      </c>
      <c r="L8" s="171"/>
      <c r="M8" s="178">
        <f t="shared" si="4"/>
        <v>0</v>
      </c>
      <c r="N8" s="178">
        <f t="shared" si="5"/>
        <v>432</v>
      </c>
      <c r="O8" s="178">
        <f t="shared" si="6"/>
        <v>720</v>
      </c>
      <c r="P8" s="178">
        <f t="shared" si="7"/>
        <v>288</v>
      </c>
      <c r="Q8" s="169">
        <v>8.0</v>
      </c>
    </row>
    <row r="9" ht="22.5" customHeight="1">
      <c r="A9" s="180" t="s">
        <v>320</v>
      </c>
      <c r="B9" s="180"/>
      <c r="C9" s="180"/>
      <c r="D9" s="166">
        <v>18.0</v>
      </c>
      <c r="E9" s="166">
        <v>2.055</v>
      </c>
      <c r="F9" s="166">
        <v>3.0</v>
      </c>
      <c r="G9" s="166" t="str">
        <f t="shared" si="1"/>
        <v>31.5%</v>
      </c>
      <c r="H9" s="166"/>
      <c r="I9" s="166">
        <v>18.0</v>
      </c>
      <c r="J9" s="166"/>
      <c r="K9" s="166">
        <f t="shared" si="3"/>
        <v>0</v>
      </c>
      <c r="L9" s="171"/>
      <c r="M9" s="172">
        <f t="shared" si="4"/>
        <v>0</v>
      </c>
      <c r="N9" s="172">
        <f t="shared" si="5"/>
        <v>36.99</v>
      </c>
      <c r="O9" s="172">
        <f t="shared" si="6"/>
        <v>54</v>
      </c>
      <c r="P9" s="172">
        <f t="shared" si="7"/>
        <v>17.01</v>
      </c>
      <c r="Q9" s="169">
        <v>8.0</v>
      </c>
    </row>
    <row r="10" ht="22.5" customHeight="1">
      <c r="A10" s="180" t="s">
        <v>321</v>
      </c>
      <c r="B10" s="180"/>
      <c r="C10" s="180"/>
      <c r="D10" s="166">
        <v>18.0</v>
      </c>
      <c r="E10" s="166">
        <v>1.56</v>
      </c>
      <c r="F10" s="166">
        <v>2.0</v>
      </c>
      <c r="G10" s="166" t="str">
        <f t="shared" si="1"/>
        <v>22.%</v>
      </c>
      <c r="H10" s="166"/>
      <c r="I10" s="166">
        <v>18.0</v>
      </c>
      <c r="J10" s="166"/>
      <c r="K10" s="166">
        <f t="shared" si="3"/>
        <v>0</v>
      </c>
      <c r="L10" s="171"/>
      <c r="M10" s="172">
        <f t="shared" si="4"/>
        <v>0</v>
      </c>
      <c r="N10" s="172">
        <f t="shared" si="5"/>
        <v>28.08</v>
      </c>
      <c r="O10" s="172">
        <f t="shared" si="6"/>
        <v>36</v>
      </c>
      <c r="P10" s="172">
        <f t="shared" si="7"/>
        <v>7.92</v>
      </c>
      <c r="Q10" s="169">
        <v>8.0</v>
      </c>
    </row>
    <row r="11" ht="22.5" customHeight="1">
      <c r="A11" s="180" t="s">
        <v>322</v>
      </c>
      <c r="B11" s="180"/>
      <c r="C11" s="180"/>
      <c r="D11" s="166">
        <v>36.0</v>
      </c>
      <c r="E11" s="166">
        <v>2.61</v>
      </c>
      <c r="F11" s="166">
        <v>3.0</v>
      </c>
      <c r="G11" s="166" t="str">
        <f t="shared" si="1"/>
        <v>13.%</v>
      </c>
      <c r="H11" s="166"/>
      <c r="I11" s="166">
        <v>36.0</v>
      </c>
      <c r="J11" s="166"/>
      <c r="K11" s="166">
        <f t="shared" si="3"/>
        <v>0</v>
      </c>
      <c r="L11" s="171"/>
      <c r="M11" s="172">
        <f t="shared" si="4"/>
        <v>0</v>
      </c>
      <c r="N11" s="172">
        <f t="shared" si="5"/>
        <v>93.96</v>
      </c>
      <c r="O11" s="172">
        <f t="shared" si="6"/>
        <v>108</v>
      </c>
      <c r="P11" s="172">
        <f t="shared" si="7"/>
        <v>14.04</v>
      </c>
      <c r="Q11" s="169">
        <v>8.0</v>
      </c>
    </row>
    <row r="12" ht="22.5" customHeight="1">
      <c r="A12" s="179" t="s">
        <v>323</v>
      </c>
      <c r="B12" s="179"/>
      <c r="C12" s="179"/>
      <c r="D12" s="175">
        <v>84.0</v>
      </c>
      <c r="E12" s="175">
        <v>1.25</v>
      </c>
      <c r="F12" s="175">
        <v>2.0</v>
      </c>
      <c r="G12" s="175" t="str">
        <f t="shared" si="1"/>
        <v>37.5%</v>
      </c>
      <c r="H12" s="175"/>
      <c r="I12" s="175">
        <v>84.0</v>
      </c>
      <c r="J12" s="175"/>
      <c r="K12" s="166">
        <f t="shared" si="3"/>
        <v>0</v>
      </c>
      <c r="L12" s="181"/>
      <c r="M12" s="178">
        <f t="shared" si="4"/>
        <v>0</v>
      </c>
      <c r="N12" s="178">
        <f t="shared" si="5"/>
        <v>105</v>
      </c>
      <c r="O12" s="178">
        <f t="shared" si="6"/>
        <v>168</v>
      </c>
      <c r="P12" s="178">
        <f t="shared" si="7"/>
        <v>63</v>
      </c>
      <c r="Q12" s="182">
        <v>8.0</v>
      </c>
    </row>
    <row r="13" ht="22.5" customHeight="1">
      <c r="A13" s="183" t="s">
        <v>324</v>
      </c>
      <c r="B13" s="183"/>
      <c r="C13" s="183"/>
      <c r="D13" s="184"/>
      <c r="E13" s="184"/>
      <c r="F13" s="184"/>
      <c r="G13" s="184" t="str">
        <f t="shared" si="1"/>
        <v>#DIV/0!</v>
      </c>
      <c r="H13" s="184"/>
      <c r="I13" s="184"/>
      <c r="J13" s="184"/>
      <c r="K13" s="166">
        <f t="shared" si="3"/>
        <v>0</v>
      </c>
      <c r="L13" s="185"/>
      <c r="M13" s="184">
        <f t="shared" si="4"/>
        <v>0</v>
      </c>
      <c r="N13" s="184">
        <f t="shared" ref="N13:P13" si="10">SUM(N2:N12)
</f>
        <v>2665.95</v>
      </c>
      <c r="O13" s="184">
        <f t="shared" si="10"/>
        <v>4554</v>
      </c>
      <c r="P13" s="184">
        <f t="shared" si="10"/>
        <v>1888.05</v>
      </c>
      <c r="Q13" s="186">
        <v>8.0</v>
      </c>
    </row>
    <row r="14" ht="22.5" customHeight="1">
      <c r="A14" s="170" t="s">
        <v>293</v>
      </c>
      <c r="B14" s="170">
        <v>51.0</v>
      </c>
      <c r="C14" s="170">
        <v>12.0</v>
      </c>
      <c r="D14" s="170">
        <f t="shared" ref="D14:D27" si="11">B14*C14</f>
        <v>612</v>
      </c>
      <c r="E14" s="170">
        <v>0.33</v>
      </c>
      <c r="F14" s="170">
        <v>1.0</v>
      </c>
      <c r="G14" s="170" t="str">
        <f t="shared" si="1"/>
        <v>67%</v>
      </c>
      <c r="H14" s="170">
        <v>51.0</v>
      </c>
      <c r="I14" s="170">
        <f t="shared" ref="I14:I27" si="12">(C14*H14)</f>
        <v>612</v>
      </c>
      <c r="J14" s="170">
        <v>0.0</v>
      </c>
      <c r="K14" s="166">
        <f t="shared" si="3"/>
        <v>0</v>
      </c>
      <c r="L14" s="167">
        <f t="shared" ref="L14:L74" si="13">(B14+$J$14)-H14</f>
        <v>0</v>
      </c>
      <c r="M14" s="168">
        <f t="shared" si="4"/>
        <v>0</v>
      </c>
      <c r="N14" s="168">
        <f t="shared" ref="N14:N27" si="14">(D14 + K14 - M14) * E14</f>
        <v>201.96</v>
      </c>
      <c r="O14" s="168">
        <f t="shared" ref="O14:O27" si="15">I14*F14</f>
        <v>612</v>
      </c>
      <c r="P14" s="168">
        <f t="shared" ref="P14:P27" si="16">O14-N14</f>
        <v>410.04</v>
      </c>
      <c r="Q14" s="169">
        <v>9.0</v>
      </c>
    </row>
    <row r="15" ht="22.5" customHeight="1">
      <c r="A15" s="170" t="s">
        <v>314</v>
      </c>
      <c r="B15" s="170">
        <v>1.0</v>
      </c>
      <c r="C15" s="170">
        <v>24.0</v>
      </c>
      <c r="D15" s="170">
        <f t="shared" si="11"/>
        <v>24</v>
      </c>
      <c r="E15" s="170">
        <v>2.58</v>
      </c>
      <c r="F15" s="170">
        <v>3.0</v>
      </c>
      <c r="G15" s="170" t="str">
        <f t="shared" si="1"/>
        <v>14.%</v>
      </c>
      <c r="H15" s="170">
        <v>1.0</v>
      </c>
      <c r="I15" s="170">
        <f t="shared" si="12"/>
        <v>24</v>
      </c>
      <c r="J15" s="170">
        <v>0.0</v>
      </c>
      <c r="K15" s="166">
        <f t="shared" si="3"/>
        <v>0</v>
      </c>
      <c r="L15" s="167">
        <f t="shared" si="13"/>
        <v>0</v>
      </c>
      <c r="M15" s="168">
        <f t="shared" si="4"/>
        <v>0</v>
      </c>
      <c r="N15" s="168">
        <f t="shared" si="14"/>
        <v>61.92</v>
      </c>
      <c r="O15" s="168">
        <f t="shared" si="15"/>
        <v>72</v>
      </c>
      <c r="P15" s="168">
        <f t="shared" si="16"/>
        <v>10.08</v>
      </c>
      <c r="Q15" s="187"/>
    </row>
    <row r="16" ht="22.5" customHeight="1">
      <c r="A16" s="166" t="s">
        <v>315</v>
      </c>
      <c r="B16" s="166">
        <v>3.0</v>
      </c>
      <c r="C16" s="166">
        <v>24.0</v>
      </c>
      <c r="D16" s="170">
        <f t="shared" si="11"/>
        <v>72</v>
      </c>
      <c r="E16" s="166">
        <v>2.83</v>
      </c>
      <c r="F16" s="166">
        <v>4.0</v>
      </c>
      <c r="G16" s="166" t="str">
        <f t="shared" si="1"/>
        <v>29.25%</v>
      </c>
      <c r="H16" s="166">
        <v>3.0</v>
      </c>
      <c r="I16" s="170">
        <f t="shared" si="12"/>
        <v>72</v>
      </c>
      <c r="J16" s="166">
        <v>0.0</v>
      </c>
      <c r="K16" s="166">
        <f t="shared" si="3"/>
        <v>0</v>
      </c>
      <c r="L16" s="167">
        <f t="shared" si="13"/>
        <v>0</v>
      </c>
      <c r="M16" s="168">
        <f t="shared" si="4"/>
        <v>0</v>
      </c>
      <c r="N16" s="168">
        <f t="shared" si="14"/>
        <v>203.76</v>
      </c>
      <c r="O16" s="168">
        <f t="shared" si="15"/>
        <v>288</v>
      </c>
      <c r="P16" s="168">
        <f t="shared" si="16"/>
        <v>84.24</v>
      </c>
      <c r="Q16" s="187"/>
    </row>
    <row r="17" ht="22.5" customHeight="1">
      <c r="A17" s="166" t="s">
        <v>316</v>
      </c>
      <c r="B17" s="166">
        <v>5.0</v>
      </c>
      <c r="C17" s="166">
        <v>24.0</v>
      </c>
      <c r="D17" s="170">
        <f t="shared" si="11"/>
        <v>120</v>
      </c>
      <c r="E17" s="166">
        <v>1.75</v>
      </c>
      <c r="F17" s="166">
        <v>2.0</v>
      </c>
      <c r="G17" s="166" t="str">
        <f t="shared" si="1"/>
        <v>12.5%</v>
      </c>
      <c r="H17" s="166">
        <v>5.0</v>
      </c>
      <c r="I17" s="170">
        <f t="shared" si="12"/>
        <v>120</v>
      </c>
      <c r="J17" s="166">
        <v>0.0</v>
      </c>
      <c r="K17" s="166">
        <f t="shared" si="3"/>
        <v>0</v>
      </c>
      <c r="L17" s="167">
        <f t="shared" si="13"/>
        <v>0</v>
      </c>
      <c r="M17" s="168">
        <f t="shared" si="4"/>
        <v>0</v>
      </c>
      <c r="N17" s="168">
        <f t="shared" si="14"/>
        <v>210</v>
      </c>
      <c r="O17" s="168">
        <f t="shared" si="15"/>
        <v>240</v>
      </c>
      <c r="P17" s="168">
        <f t="shared" si="16"/>
        <v>30</v>
      </c>
      <c r="Q17" s="187"/>
    </row>
    <row r="18" ht="22.5" customHeight="1">
      <c r="A18" s="166" t="s">
        <v>317</v>
      </c>
      <c r="B18" s="166">
        <v>9.0</v>
      </c>
      <c r="C18" s="166">
        <v>24.0</v>
      </c>
      <c r="D18" s="170">
        <f t="shared" si="11"/>
        <v>216</v>
      </c>
      <c r="E18" s="166">
        <v>2.5</v>
      </c>
      <c r="F18" s="166">
        <v>3.0</v>
      </c>
      <c r="G18" s="166" t="str">
        <f t="shared" si="1"/>
        <v>16.6666666666667%</v>
      </c>
      <c r="H18" s="166">
        <v>9.0</v>
      </c>
      <c r="I18" s="170">
        <f t="shared" si="12"/>
        <v>216</v>
      </c>
      <c r="J18" s="166">
        <v>0.0</v>
      </c>
      <c r="K18" s="166">
        <f t="shared" si="3"/>
        <v>0</v>
      </c>
      <c r="L18" s="167">
        <f t="shared" si="13"/>
        <v>0</v>
      </c>
      <c r="M18" s="168">
        <f t="shared" si="4"/>
        <v>0</v>
      </c>
      <c r="N18" s="168">
        <f t="shared" si="14"/>
        <v>540</v>
      </c>
      <c r="O18" s="168">
        <f t="shared" si="15"/>
        <v>648</v>
      </c>
      <c r="P18" s="168">
        <f t="shared" si="16"/>
        <v>108</v>
      </c>
      <c r="Q18" s="187"/>
    </row>
    <row r="19" ht="22.5" customHeight="1">
      <c r="A19" s="179" t="s">
        <v>319</v>
      </c>
      <c r="B19" s="174">
        <v>34.0</v>
      </c>
      <c r="C19" s="174">
        <v>24.0</v>
      </c>
      <c r="D19" s="170">
        <f t="shared" si="11"/>
        <v>816</v>
      </c>
      <c r="E19" s="175">
        <v>0.6</v>
      </c>
      <c r="F19" s="175">
        <v>1.0</v>
      </c>
      <c r="G19" s="175" t="str">
        <f t="shared" si="1"/>
        <v>40%</v>
      </c>
      <c r="H19" s="175">
        <v>34.0</v>
      </c>
      <c r="I19" s="170">
        <f t="shared" si="12"/>
        <v>816</v>
      </c>
      <c r="J19" s="175">
        <v>0.0</v>
      </c>
      <c r="K19" s="166">
        <f t="shared" si="3"/>
        <v>0</v>
      </c>
      <c r="L19" s="167">
        <f t="shared" si="13"/>
        <v>0</v>
      </c>
      <c r="M19" s="168">
        <f t="shared" si="4"/>
        <v>0</v>
      </c>
      <c r="N19" s="168">
        <f t="shared" si="14"/>
        <v>489.6</v>
      </c>
      <c r="O19" s="168">
        <f t="shared" si="15"/>
        <v>816</v>
      </c>
      <c r="P19" s="168">
        <f t="shared" si="16"/>
        <v>326.4</v>
      </c>
      <c r="Q19" s="187"/>
    </row>
    <row r="20" ht="22.5" customHeight="1">
      <c r="A20" s="188" t="s">
        <v>325</v>
      </c>
      <c r="B20" s="189">
        <v>3.0</v>
      </c>
      <c r="C20" s="189">
        <v>24.0</v>
      </c>
      <c r="D20" s="170">
        <f t="shared" si="11"/>
        <v>72</v>
      </c>
      <c r="E20" s="175">
        <v>2.41</v>
      </c>
      <c r="F20" s="166">
        <v>3.0</v>
      </c>
      <c r="G20" s="166" t="str">
        <f t="shared" si="1"/>
        <v>19.6666666666667%</v>
      </c>
      <c r="H20" s="166">
        <v>2.0</v>
      </c>
      <c r="I20" s="170">
        <f t="shared" si="12"/>
        <v>48</v>
      </c>
      <c r="J20" s="166">
        <v>0.0</v>
      </c>
      <c r="K20" s="166">
        <f t="shared" si="3"/>
        <v>0</v>
      </c>
      <c r="L20" s="167">
        <f t="shared" si="13"/>
        <v>1</v>
      </c>
      <c r="M20" s="168">
        <f t="shared" si="4"/>
        <v>24</v>
      </c>
      <c r="N20" s="168">
        <f t="shared" si="14"/>
        <v>115.68</v>
      </c>
      <c r="O20" s="168">
        <f t="shared" si="15"/>
        <v>144</v>
      </c>
      <c r="P20" s="168">
        <f t="shared" si="16"/>
        <v>28.32</v>
      </c>
      <c r="Q20" s="187"/>
    </row>
    <row r="21" ht="22.5" customHeight="1">
      <c r="A21" s="188" t="s">
        <v>326</v>
      </c>
      <c r="B21" s="189">
        <v>1.0</v>
      </c>
      <c r="C21" s="189">
        <v>18.0</v>
      </c>
      <c r="D21" s="170">
        <f t="shared" si="11"/>
        <v>18</v>
      </c>
      <c r="E21" s="175">
        <v>3.05</v>
      </c>
      <c r="F21" s="166">
        <v>4.0</v>
      </c>
      <c r="G21" s="166" t="str">
        <f t="shared" si="1"/>
        <v>23.75%</v>
      </c>
      <c r="H21" s="166">
        <v>1.0</v>
      </c>
      <c r="I21" s="170">
        <f t="shared" si="12"/>
        <v>18</v>
      </c>
      <c r="J21" s="166">
        <v>0.0</v>
      </c>
      <c r="K21" s="166">
        <f t="shared" si="3"/>
        <v>0</v>
      </c>
      <c r="L21" s="167">
        <f t="shared" si="13"/>
        <v>0</v>
      </c>
      <c r="M21" s="168">
        <f t="shared" si="4"/>
        <v>0</v>
      </c>
      <c r="N21" s="168">
        <f t="shared" si="14"/>
        <v>54.9</v>
      </c>
      <c r="O21" s="168">
        <f t="shared" si="15"/>
        <v>72</v>
      </c>
      <c r="P21" s="168">
        <f t="shared" si="16"/>
        <v>17.1</v>
      </c>
      <c r="Q21" s="187"/>
    </row>
    <row r="22" ht="22.5" customHeight="1">
      <c r="A22" s="188" t="s">
        <v>293</v>
      </c>
      <c r="B22" s="189">
        <v>89.0</v>
      </c>
      <c r="C22" s="189">
        <v>12.0</v>
      </c>
      <c r="D22" s="170">
        <f t="shared" si="11"/>
        <v>1068</v>
      </c>
      <c r="E22" s="175">
        <v>0.3</v>
      </c>
      <c r="F22" s="166">
        <v>1.0</v>
      </c>
      <c r="G22" s="166" t="str">
        <f t="shared" si="1"/>
        <v>70%</v>
      </c>
      <c r="H22" s="166">
        <v>89.0</v>
      </c>
      <c r="I22" s="170">
        <f t="shared" si="12"/>
        <v>1068</v>
      </c>
      <c r="J22" s="166">
        <v>0.0</v>
      </c>
      <c r="K22" s="166">
        <f t="shared" si="3"/>
        <v>0</v>
      </c>
      <c r="L22" s="167">
        <f t="shared" si="13"/>
        <v>0</v>
      </c>
      <c r="M22" s="168">
        <f t="shared" si="4"/>
        <v>0</v>
      </c>
      <c r="N22" s="168">
        <f t="shared" si="14"/>
        <v>320.4</v>
      </c>
      <c r="O22" s="168">
        <f t="shared" si="15"/>
        <v>1068</v>
      </c>
      <c r="P22" s="168">
        <f t="shared" si="16"/>
        <v>747.6</v>
      </c>
      <c r="Q22" s="187"/>
    </row>
    <row r="23" ht="22.5" customHeight="1">
      <c r="A23" s="173" t="s">
        <v>327</v>
      </c>
      <c r="B23" s="174">
        <v>9.0</v>
      </c>
      <c r="C23" s="174">
        <v>24.0</v>
      </c>
      <c r="D23" s="170">
        <f t="shared" si="11"/>
        <v>216</v>
      </c>
      <c r="E23" s="175">
        <v>2.87</v>
      </c>
      <c r="F23" s="175">
        <v>4.0</v>
      </c>
      <c r="G23" s="175" t="str">
        <f t="shared" si="1"/>
        <v>28.25%</v>
      </c>
      <c r="H23" s="175">
        <v>9.0</v>
      </c>
      <c r="I23" s="170">
        <f t="shared" si="12"/>
        <v>216</v>
      </c>
      <c r="J23" s="175">
        <v>0.0</v>
      </c>
      <c r="K23" s="166">
        <f t="shared" si="3"/>
        <v>0</v>
      </c>
      <c r="L23" s="167">
        <f t="shared" si="13"/>
        <v>0</v>
      </c>
      <c r="M23" s="168">
        <f t="shared" si="4"/>
        <v>0</v>
      </c>
      <c r="N23" s="168">
        <f t="shared" si="14"/>
        <v>619.92</v>
      </c>
      <c r="O23" s="168">
        <f t="shared" si="15"/>
        <v>864</v>
      </c>
      <c r="P23" s="168">
        <f t="shared" si="16"/>
        <v>244.08</v>
      </c>
      <c r="Q23" s="187"/>
    </row>
    <row r="24" ht="22.5" customHeight="1">
      <c r="A24" s="179" t="s">
        <v>328</v>
      </c>
      <c r="B24" s="174">
        <v>1.0</v>
      </c>
      <c r="C24" s="174">
        <v>24.0</v>
      </c>
      <c r="D24" s="166">
        <f t="shared" si="11"/>
        <v>24</v>
      </c>
      <c r="E24" s="175">
        <v>2.87</v>
      </c>
      <c r="F24" s="175">
        <v>3.0</v>
      </c>
      <c r="G24" s="175" t="str">
        <f t="shared" si="1"/>
        <v>4.33333333333333%</v>
      </c>
      <c r="H24" s="175">
        <v>1.0</v>
      </c>
      <c r="I24" s="166">
        <f t="shared" si="12"/>
        <v>24</v>
      </c>
      <c r="J24" s="175">
        <v>0.0</v>
      </c>
      <c r="K24" s="166">
        <f t="shared" si="3"/>
        <v>0</v>
      </c>
      <c r="L24" s="171">
        <f t="shared" si="13"/>
        <v>0</v>
      </c>
      <c r="M24" s="172">
        <f t="shared" si="4"/>
        <v>0</v>
      </c>
      <c r="N24" s="172">
        <f t="shared" si="14"/>
        <v>68.88</v>
      </c>
      <c r="O24" s="172">
        <f t="shared" si="15"/>
        <v>72</v>
      </c>
      <c r="P24" s="172">
        <f t="shared" si="16"/>
        <v>3.12</v>
      </c>
      <c r="Q24" s="190"/>
    </row>
    <row r="25" ht="22.5" customHeight="1">
      <c r="A25" s="179" t="s">
        <v>329</v>
      </c>
      <c r="B25" s="174">
        <v>2.0</v>
      </c>
      <c r="C25" s="174">
        <v>18.0</v>
      </c>
      <c r="D25" s="166">
        <f t="shared" si="11"/>
        <v>36</v>
      </c>
      <c r="E25" s="175">
        <v>1.16</v>
      </c>
      <c r="F25" s="175">
        <v>2.0</v>
      </c>
      <c r="G25" s="175" t="str">
        <f t="shared" si="1"/>
        <v>42.%</v>
      </c>
      <c r="H25" s="175">
        <v>2.0</v>
      </c>
      <c r="I25" s="166">
        <f t="shared" si="12"/>
        <v>36</v>
      </c>
      <c r="J25" s="175">
        <v>0.0</v>
      </c>
      <c r="K25" s="166">
        <f t="shared" si="3"/>
        <v>0</v>
      </c>
      <c r="L25" s="171">
        <f t="shared" si="13"/>
        <v>0</v>
      </c>
      <c r="M25" s="172">
        <f t="shared" si="4"/>
        <v>0</v>
      </c>
      <c r="N25" s="172">
        <f t="shared" si="14"/>
        <v>41.76</v>
      </c>
      <c r="O25" s="172">
        <f t="shared" si="15"/>
        <v>72</v>
      </c>
      <c r="P25" s="172">
        <f t="shared" si="16"/>
        <v>30.24</v>
      </c>
      <c r="Q25" s="190"/>
    </row>
    <row r="26" ht="15.75" customHeight="1">
      <c r="A26" s="179" t="s">
        <v>320</v>
      </c>
      <c r="B26" s="174">
        <v>2.0</v>
      </c>
      <c r="C26" s="174">
        <v>18.0</v>
      </c>
      <c r="D26" s="166">
        <f t="shared" si="11"/>
        <v>36</v>
      </c>
      <c r="E26" s="175">
        <v>2.16</v>
      </c>
      <c r="F26" s="175">
        <v>3.0</v>
      </c>
      <c r="G26" s="175" t="str">
        <f t="shared" si="1"/>
        <v>28.%</v>
      </c>
      <c r="H26" s="175">
        <v>2.0</v>
      </c>
      <c r="I26" s="166">
        <f t="shared" si="12"/>
        <v>36</v>
      </c>
      <c r="J26" s="175">
        <v>0.0</v>
      </c>
      <c r="K26" s="166">
        <f t="shared" si="3"/>
        <v>0</v>
      </c>
      <c r="L26" s="171">
        <f t="shared" si="13"/>
        <v>0</v>
      </c>
      <c r="M26" s="172">
        <f t="shared" si="4"/>
        <v>0</v>
      </c>
      <c r="N26" s="172">
        <f t="shared" si="14"/>
        <v>77.76</v>
      </c>
      <c r="O26" s="172">
        <f t="shared" si="15"/>
        <v>108</v>
      </c>
      <c r="P26" s="172">
        <f t="shared" si="16"/>
        <v>30.24</v>
      </c>
      <c r="Q26" s="190"/>
    </row>
    <row r="27" ht="15.75" customHeight="1">
      <c r="A27" s="173" t="s">
        <v>330</v>
      </c>
      <c r="B27" s="174">
        <v>1.0</v>
      </c>
      <c r="C27" s="174">
        <v>24.0</v>
      </c>
      <c r="D27" s="191">
        <f t="shared" si="11"/>
        <v>24</v>
      </c>
      <c r="E27" s="175">
        <v>2.95</v>
      </c>
      <c r="F27" s="175">
        <v>4.0</v>
      </c>
      <c r="G27" s="175" t="str">
        <f t="shared" si="1"/>
        <v>26.25%</v>
      </c>
      <c r="H27" s="175">
        <v>1.0</v>
      </c>
      <c r="I27" s="191">
        <f t="shared" si="12"/>
        <v>24</v>
      </c>
      <c r="J27" s="175"/>
      <c r="K27" s="166">
        <f t="shared" si="3"/>
        <v>0</v>
      </c>
      <c r="L27" s="181">
        <f t="shared" si="13"/>
        <v>0</v>
      </c>
      <c r="M27" s="178">
        <f t="shared" si="4"/>
        <v>0</v>
      </c>
      <c r="N27" s="178">
        <f t="shared" si="14"/>
        <v>70.8</v>
      </c>
      <c r="O27" s="178">
        <f t="shared" si="15"/>
        <v>96</v>
      </c>
      <c r="P27" s="178">
        <f t="shared" si="16"/>
        <v>25.2</v>
      </c>
      <c r="Q27" s="190"/>
    </row>
    <row r="28" ht="15.75" customHeight="1">
      <c r="A28" s="183" t="s">
        <v>331</v>
      </c>
      <c r="B28" s="183"/>
      <c r="C28" s="183"/>
      <c r="D28" s="184"/>
      <c r="E28" s="184"/>
      <c r="F28" s="184"/>
      <c r="G28" s="184" t="str">
        <f t="shared" si="1"/>
        <v>#DIV/0!</v>
      </c>
      <c r="H28" s="184"/>
      <c r="I28" s="184"/>
      <c r="J28" s="184"/>
      <c r="K28" s="166">
        <f t="shared" si="3"/>
        <v>0</v>
      </c>
      <c r="L28" s="181">
        <f t="shared" si="13"/>
        <v>0</v>
      </c>
      <c r="M28" s="184">
        <f t="shared" si="4"/>
        <v>0</v>
      </c>
      <c r="N28" s="184">
        <f t="shared" ref="N28:P28" si="17">SUM(N14:N27)
</f>
        <v>3077.34</v>
      </c>
      <c r="O28" s="184">
        <f t="shared" si="17"/>
        <v>5172</v>
      </c>
      <c r="P28" s="184">
        <f t="shared" si="17"/>
        <v>2094.66</v>
      </c>
      <c r="Q28" s="186">
        <v>9.0</v>
      </c>
    </row>
    <row r="29" ht="15.75" customHeight="1">
      <c r="A29" s="170" t="s">
        <v>332</v>
      </c>
      <c r="B29" s="170">
        <v>15.0</v>
      </c>
      <c r="C29" s="170">
        <v>24.0</v>
      </c>
      <c r="D29" s="170">
        <f t="shared" ref="D29:D81" si="18">B29*C29</f>
        <v>360</v>
      </c>
      <c r="E29" s="170">
        <v>0.6</v>
      </c>
      <c r="F29" s="170">
        <v>1.0</v>
      </c>
      <c r="G29" s="170" t="str">
        <f t="shared" si="1"/>
        <v>40%</v>
      </c>
      <c r="H29" s="170">
        <v>15.0</v>
      </c>
      <c r="I29" s="170">
        <f t="shared" ref="I29:I79" si="19">C29*H29</f>
        <v>360</v>
      </c>
      <c r="J29" s="170">
        <v>0.0</v>
      </c>
      <c r="K29" s="166">
        <f t="shared" si="3"/>
        <v>0</v>
      </c>
      <c r="L29" s="181">
        <f t="shared" si="13"/>
        <v>0</v>
      </c>
      <c r="M29" s="168">
        <f t="shared" si="4"/>
        <v>0</v>
      </c>
      <c r="N29" s="168">
        <f t="shared" ref="N29:N37" si="20">(D29 + K29 - M29) * E29</f>
        <v>216</v>
      </c>
      <c r="O29" s="168">
        <f t="shared" ref="O29:O37" si="21">I29*F29</f>
        <v>360</v>
      </c>
      <c r="P29" s="168">
        <f t="shared" ref="P29:P37" si="22">O29-N29</f>
        <v>144</v>
      </c>
      <c r="Q29" s="187"/>
    </row>
    <row r="30" ht="15.75" customHeight="1">
      <c r="A30" s="170" t="s">
        <v>315</v>
      </c>
      <c r="B30" s="170">
        <v>5.0</v>
      </c>
      <c r="C30" s="170">
        <v>24.0</v>
      </c>
      <c r="D30" s="170">
        <f t="shared" si="18"/>
        <v>120</v>
      </c>
      <c r="E30" s="170">
        <v>2.91</v>
      </c>
      <c r="F30" s="170">
        <v>4.0</v>
      </c>
      <c r="G30" s="170" t="str">
        <f t="shared" si="1"/>
        <v>27.25%</v>
      </c>
      <c r="H30" s="170">
        <v>5.0</v>
      </c>
      <c r="I30" s="170">
        <f t="shared" si="19"/>
        <v>120</v>
      </c>
      <c r="J30" s="170">
        <v>0.0</v>
      </c>
      <c r="K30" s="166">
        <f t="shared" si="3"/>
        <v>0</v>
      </c>
      <c r="L30" s="181">
        <f t="shared" si="13"/>
        <v>0</v>
      </c>
      <c r="M30" s="168">
        <f t="shared" si="4"/>
        <v>0</v>
      </c>
      <c r="N30" s="168">
        <f t="shared" si="20"/>
        <v>349.2</v>
      </c>
      <c r="O30" s="168">
        <f t="shared" si="21"/>
        <v>480</v>
      </c>
      <c r="P30" s="168">
        <f t="shared" si="22"/>
        <v>130.8</v>
      </c>
      <c r="Q30" s="187"/>
    </row>
    <row r="31" ht="15.75" customHeight="1">
      <c r="A31" s="192" t="s">
        <v>333</v>
      </c>
      <c r="B31" s="146">
        <v>2.0</v>
      </c>
      <c r="C31" s="146">
        <v>24.0</v>
      </c>
      <c r="D31" s="170">
        <f t="shared" si="18"/>
        <v>48</v>
      </c>
      <c r="E31" s="146">
        <v>4.45</v>
      </c>
      <c r="F31" s="146">
        <v>6.0</v>
      </c>
      <c r="G31" s="146" t="str">
        <f t="shared" si="1"/>
        <v>25.8333333333333%</v>
      </c>
      <c r="H31" s="146">
        <v>2.0</v>
      </c>
      <c r="I31" s="170">
        <f t="shared" si="19"/>
        <v>48</v>
      </c>
      <c r="J31" s="146">
        <v>0.0</v>
      </c>
      <c r="K31" s="166">
        <f t="shared" si="3"/>
        <v>0</v>
      </c>
      <c r="L31" s="181">
        <f t="shared" si="13"/>
        <v>0</v>
      </c>
      <c r="M31" s="94">
        <f t="shared" si="4"/>
        <v>0</v>
      </c>
      <c r="N31" s="168">
        <f t="shared" si="20"/>
        <v>213.6</v>
      </c>
      <c r="O31" s="168">
        <f t="shared" si="21"/>
        <v>288</v>
      </c>
      <c r="P31" s="168">
        <f t="shared" si="22"/>
        <v>74.4</v>
      </c>
      <c r="Q31" s="193"/>
    </row>
    <row r="32" ht="15.75" customHeight="1">
      <c r="A32" s="194" t="s">
        <v>317</v>
      </c>
      <c r="B32" s="195">
        <v>3.0</v>
      </c>
      <c r="C32" s="195">
        <v>24.0</v>
      </c>
      <c r="D32" s="170">
        <f t="shared" si="18"/>
        <v>72</v>
      </c>
      <c r="E32" s="195">
        <v>2.5</v>
      </c>
      <c r="F32" s="195">
        <v>3.0</v>
      </c>
      <c r="G32" s="195" t="str">
        <f t="shared" si="1"/>
        <v>16.6666666666667%</v>
      </c>
      <c r="H32" s="195">
        <v>3.0</v>
      </c>
      <c r="I32" s="170">
        <f t="shared" si="19"/>
        <v>72</v>
      </c>
      <c r="J32" s="195">
        <v>0.0</v>
      </c>
      <c r="K32" s="166">
        <f t="shared" si="3"/>
        <v>0</v>
      </c>
      <c r="L32" s="181">
        <f t="shared" si="13"/>
        <v>0</v>
      </c>
      <c r="M32" s="196">
        <f t="shared" si="4"/>
        <v>0</v>
      </c>
      <c r="N32" s="168">
        <f t="shared" si="20"/>
        <v>180</v>
      </c>
      <c r="O32" s="168">
        <f t="shared" si="21"/>
        <v>216</v>
      </c>
      <c r="P32" s="168">
        <f t="shared" si="22"/>
        <v>36</v>
      </c>
      <c r="Q32" s="197"/>
    </row>
    <row r="33" ht="15.75" customHeight="1">
      <c r="A33" s="198" t="s">
        <v>334</v>
      </c>
      <c r="B33" s="199">
        <v>3.0</v>
      </c>
      <c r="C33" s="199">
        <v>24.0</v>
      </c>
      <c r="D33" s="170">
        <f t="shared" si="18"/>
        <v>72</v>
      </c>
      <c r="E33" s="199">
        <v>3.66</v>
      </c>
      <c r="F33" s="199">
        <v>5.0</v>
      </c>
      <c r="G33" s="199" t="str">
        <f t="shared" si="1"/>
        <v>26.8%</v>
      </c>
      <c r="H33" s="199">
        <v>3.0</v>
      </c>
      <c r="I33" s="170">
        <f t="shared" si="19"/>
        <v>72</v>
      </c>
      <c r="J33" s="199">
        <v>0.0</v>
      </c>
      <c r="K33" s="166">
        <f t="shared" si="3"/>
        <v>0</v>
      </c>
      <c r="L33" s="181">
        <f t="shared" si="13"/>
        <v>0</v>
      </c>
      <c r="M33" s="200">
        <f t="shared" si="4"/>
        <v>0</v>
      </c>
      <c r="N33" s="168">
        <f t="shared" si="20"/>
        <v>263.52</v>
      </c>
      <c r="O33" s="168">
        <f t="shared" si="21"/>
        <v>360</v>
      </c>
      <c r="P33" s="168">
        <f t="shared" si="22"/>
        <v>96.48</v>
      </c>
      <c r="Q33" s="201"/>
    </row>
    <row r="34" ht="15.75" customHeight="1">
      <c r="A34" s="202" t="s">
        <v>314</v>
      </c>
      <c r="B34" s="203">
        <v>5.0</v>
      </c>
      <c r="C34" s="203">
        <v>24.0</v>
      </c>
      <c r="D34" s="170">
        <f t="shared" si="18"/>
        <v>120</v>
      </c>
      <c r="E34" s="203">
        <v>2.7</v>
      </c>
      <c r="F34" s="203">
        <v>4.0</v>
      </c>
      <c r="G34" s="203" t="str">
        <f t="shared" si="1"/>
        <v>32.5%</v>
      </c>
      <c r="H34" s="203">
        <v>5.0</v>
      </c>
      <c r="I34" s="170">
        <f t="shared" si="19"/>
        <v>120</v>
      </c>
      <c r="J34" s="203">
        <v>0.0</v>
      </c>
      <c r="K34" s="166">
        <f t="shared" si="3"/>
        <v>0</v>
      </c>
      <c r="L34" s="181">
        <f t="shared" si="13"/>
        <v>0</v>
      </c>
      <c r="M34" s="200">
        <f t="shared" si="4"/>
        <v>0</v>
      </c>
      <c r="N34" s="168">
        <f t="shared" si="20"/>
        <v>324</v>
      </c>
      <c r="O34" s="168">
        <f t="shared" si="21"/>
        <v>480</v>
      </c>
      <c r="P34" s="168">
        <f t="shared" si="22"/>
        <v>156</v>
      </c>
      <c r="Q34" s="204"/>
    </row>
    <row r="35" ht="15.75" customHeight="1">
      <c r="A35" s="202" t="s">
        <v>335</v>
      </c>
      <c r="B35" s="203">
        <v>10.0</v>
      </c>
      <c r="C35" s="203">
        <v>24.0</v>
      </c>
      <c r="D35" s="170">
        <f t="shared" si="18"/>
        <v>240</v>
      </c>
      <c r="E35" s="203">
        <v>0.45</v>
      </c>
      <c r="F35" s="203">
        <v>1.0</v>
      </c>
      <c r="G35" s="203" t="str">
        <f t="shared" si="1"/>
        <v>55.%</v>
      </c>
      <c r="H35" s="203">
        <v>10.0</v>
      </c>
      <c r="I35" s="170">
        <f t="shared" si="19"/>
        <v>240</v>
      </c>
      <c r="J35" s="203">
        <v>0.0</v>
      </c>
      <c r="K35" s="166">
        <f t="shared" si="3"/>
        <v>0</v>
      </c>
      <c r="L35" s="181">
        <f t="shared" si="13"/>
        <v>0</v>
      </c>
      <c r="M35" s="200">
        <f t="shared" si="4"/>
        <v>0</v>
      </c>
      <c r="N35" s="168">
        <f t="shared" si="20"/>
        <v>108</v>
      </c>
      <c r="O35" s="168">
        <f t="shared" si="21"/>
        <v>240</v>
      </c>
      <c r="P35" s="168">
        <f t="shared" si="22"/>
        <v>132</v>
      </c>
      <c r="Q35" s="204"/>
    </row>
    <row r="36" ht="15.75" customHeight="1">
      <c r="A36" s="205" t="s">
        <v>336</v>
      </c>
      <c r="B36" s="206">
        <v>15.0</v>
      </c>
      <c r="C36" s="206">
        <v>12.0</v>
      </c>
      <c r="D36" s="170">
        <f t="shared" si="18"/>
        <v>180</v>
      </c>
      <c r="E36" s="206">
        <v>0.3</v>
      </c>
      <c r="F36" s="206">
        <v>1.0</v>
      </c>
      <c r="G36" s="206" t="str">
        <f t="shared" si="1"/>
        <v>70%</v>
      </c>
      <c r="H36" s="206">
        <v>15.0</v>
      </c>
      <c r="I36" s="170">
        <f t="shared" si="19"/>
        <v>180</v>
      </c>
      <c r="J36" s="203">
        <v>0.0</v>
      </c>
      <c r="K36" s="166">
        <f t="shared" si="3"/>
        <v>0</v>
      </c>
      <c r="L36" s="181">
        <f t="shared" si="13"/>
        <v>0</v>
      </c>
      <c r="M36" s="200">
        <f t="shared" si="4"/>
        <v>0</v>
      </c>
      <c r="N36" s="168">
        <f t="shared" si="20"/>
        <v>54</v>
      </c>
      <c r="O36" s="168">
        <f t="shared" si="21"/>
        <v>180</v>
      </c>
      <c r="P36" s="168">
        <f t="shared" si="22"/>
        <v>126</v>
      </c>
      <c r="Q36" s="207"/>
    </row>
    <row r="37" ht="15.75" customHeight="1">
      <c r="A37" s="146" t="s">
        <v>337</v>
      </c>
      <c r="B37" s="146">
        <v>1.0</v>
      </c>
      <c r="C37" s="146">
        <v>24.0</v>
      </c>
      <c r="D37" s="170">
        <f t="shared" si="18"/>
        <v>24</v>
      </c>
      <c r="E37" s="146">
        <v>3.75</v>
      </c>
      <c r="F37" s="146">
        <v>5.0</v>
      </c>
      <c r="G37" s="146" t="str">
        <f t="shared" si="1"/>
        <v>25%</v>
      </c>
      <c r="H37" s="146">
        <v>1.0</v>
      </c>
      <c r="I37" s="170">
        <f t="shared" si="19"/>
        <v>24</v>
      </c>
      <c r="J37" s="203">
        <v>0.0</v>
      </c>
      <c r="K37" s="166">
        <f t="shared" si="3"/>
        <v>0</v>
      </c>
      <c r="L37" s="181">
        <f t="shared" si="13"/>
        <v>0</v>
      </c>
      <c r="M37" s="94">
        <f t="shared" si="4"/>
        <v>0</v>
      </c>
      <c r="N37" s="168">
        <f t="shared" si="20"/>
        <v>90</v>
      </c>
      <c r="O37" s="168">
        <f t="shared" si="21"/>
        <v>120</v>
      </c>
      <c r="P37" s="168">
        <f t="shared" si="22"/>
        <v>30</v>
      </c>
      <c r="Q37" s="91"/>
    </row>
    <row r="38" ht="15.75" customHeight="1">
      <c r="A38" s="183" t="s">
        <v>338</v>
      </c>
      <c r="B38" s="183"/>
      <c r="C38" s="183"/>
      <c r="D38" s="170">
        <f t="shared" si="18"/>
        <v>0</v>
      </c>
      <c r="E38" s="184"/>
      <c r="F38" s="184"/>
      <c r="G38" s="184" t="str">
        <f t="shared" si="1"/>
        <v>#DIV/0!</v>
      </c>
      <c r="H38" s="184"/>
      <c r="I38" s="170">
        <f t="shared" si="19"/>
        <v>0</v>
      </c>
      <c r="J38" s="203">
        <v>0.0</v>
      </c>
      <c r="K38" s="166">
        <f t="shared" si="3"/>
        <v>0</v>
      </c>
      <c r="L38" s="181">
        <f t="shared" si="13"/>
        <v>0</v>
      </c>
      <c r="M38" s="184">
        <f t="shared" si="4"/>
        <v>0</v>
      </c>
      <c r="N38" s="184">
        <f t="shared" ref="N38:P38" si="23">SUM(N29:N37)
</f>
        <v>1798.32</v>
      </c>
      <c r="O38" s="184">
        <f t="shared" si="23"/>
        <v>2724</v>
      </c>
      <c r="P38" s="184">
        <f t="shared" si="23"/>
        <v>925.68</v>
      </c>
      <c r="Q38" s="186">
        <v>12.0</v>
      </c>
    </row>
    <row r="39" ht="15.75" customHeight="1">
      <c r="A39" s="146"/>
      <c r="B39" s="146"/>
      <c r="C39" s="146"/>
      <c r="D39" s="191">
        <f t="shared" si="18"/>
        <v>0</v>
      </c>
      <c r="E39" s="146"/>
      <c r="F39" s="146"/>
      <c r="G39" s="146"/>
      <c r="H39" s="146"/>
      <c r="I39" s="191">
        <f t="shared" si="19"/>
        <v>0</v>
      </c>
      <c r="J39" s="206"/>
      <c r="K39" s="166">
        <f t="shared" si="3"/>
        <v>0</v>
      </c>
      <c r="L39" s="181">
        <f t="shared" si="13"/>
        <v>0</v>
      </c>
      <c r="M39" s="94"/>
      <c r="N39" s="94"/>
      <c r="O39" s="94"/>
      <c r="P39" s="94"/>
      <c r="Q39" s="91"/>
    </row>
    <row r="40" ht="15.75" customHeight="1">
      <c r="A40" s="208" t="s">
        <v>339</v>
      </c>
      <c r="B40" s="208"/>
      <c r="C40" s="208"/>
      <c r="D40" s="208">
        <f t="shared" si="18"/>
        <v>0</v>
      </c>
      <c r="E40" s="208"/>
      <c r="F40" s="208"/>
      <c r="G40" s="208"/>
      <c r="H40" s="208"/>
      <c r="I40" s="208">
        <f t="shared" si="19"/>
        <v>0</v>
      </c>
      <c r="J40" s="208"/>
      <c r="K40" s="166">
        <f t="shared" si="3"/>
        <v>0</v>
      </c>
      <c r="L40" s="209">
        <f t="shared" si="13"/>
        <v>0</v>
      </c>
      <c r="M40" s="210">
        <f t="shared" ref="M40:M217" si="25">(D40+K40)-I40</f>
        <v>0</v>
      </c>
      <c r="N40" s="184">
        <f t="shared" ref="N40:P40" si="24">SUM(N13+N28+N38)
</f>
        <v>7541.61</v>
      </c>
      <c r="O40" s="184">
        <f t="shared" si="24"/>
        <v>12450</v>
      </c>
      <c r="P40" s="184">
        <f t="shared" si="24"/>
        <v>4908.39</v>
      </c>
      <c r="Q40" s="211"/>
    </row>
    <row r="41" ht="15.75" customHeight="1">
      <c r="A41" s="146" t="s">
        <v>336</v>
      </c>
      <c r="B41" s="146">
        <v>35.0</v>
      </c>
      <c r="C41" s="146">
        <v>12.0</v>
      </c>
      <c r="D41" s="170">
        <f t="shared" si="18"/>
        <v>420</v>
      </c>
      <c r="E41" s="146">
        <v>0.29</v>
      </c>
      <c r="F41" s="146">
        <v>1.0</v>
      </c>
      <c r="G41" s="146" t="str">
        <f t="shared" ref="G41:G81" si="26">((F41-E41)/F41)*100 &amp; "%"</f>
        <v>71%</v>
      </c>
      <c r="H41" s="146">
        <v>35.0</v>
      </c>
      <c r="I41" s="170">
        <f t="shared" si="19"/>
        <v>420</v>
      </c>
      <c r="J41" s="203">
        <v>0.0</v>
      </c>
      <c r="K41" s="166">
        <f t="shared" si="3"/>
        <v>0</v>
      </c>
      <c r="L41" s="181">
        <f t="shared" si="13"/>
        <v>0</v>
      </c>
      <c r="M41" s="94">
        <f t="shared" si="25"/>
        <v>0</v>
      </c>
      <c r="N41" s="94">
        <f t="shared" ref="N41:N56" si="27">(D41 + K41 - M41) * E41</f>
        <v>121.8</v>
      </c>
      <c r="O41" s="94">
        <f t="shared" ref="O41:O56" si="28">I41*F41</f>
        <v>420</v>
      </c>
      <c r="P41" s="94">
        <f t="shared" ref="P41:P56" si="29">O41-N41</f>
        <v>298.2</v>
      </c>
      <c r="Q41" s="91"/>
    </row>
    <row r="42" ht="15.75" customHeight="1">
      <c r="A42" s="146" t="s">
        <v>314</v>
      </c>
      <c r="B42" s="146">
        <v>1.0</v>
      </c>
      <c r="C42" s="146">
        <v>24.0</v>
      </c>
      <c r="D42" s="170">
        <f t="shared" si="18"/>
        <v>24</v>
      </c>
      <c r="E42" s="146">
        <v>2.66</v>
      </c>
      <c r="F42" s="146">
        <v>4.0</v>
      </c>
      <c r="G42" s="146" t="str">
        <f t="shared" si="26"/>
        <v>33.5%</v>
      </c>
      <c r="H42" s="146"/>
      <c r="I42" s="170">
        <f t="shared" si="19"/>
        <v>0</v>
      </c>
      <c r="J42" s="203">
        <v>0.0</v>
      </c>
      <c r="K42" s="166">
        <f t="shared" si="3"/>
        <v>0</v>
      </c>
      <c r="L42" s="181">
        <f t="shared" si="13"/>
        <v>1</v>
      </c>
      <c r="M42" s="94">
        <f t="shared" si="25"/>
        <v>24</v>
      </c>
      <c r="N42" s="94">
        <f t="shared" si="27"/>
        <v>0</v>
      </c>
      <c r="O42" s="94">
        <f t="shared" si="28"/>
        <v>0</v>
      </c>
      <c r="P42" s="94">
        <f t="shared" si="29"/>
        <v>0</v>
      </c>
      <c r="Q42" s="91"/>
    </row>
    <row r="43" ht="15.75" customHeight="1">
      <c r="A43" s="146" t="s">
        <v>314</v>
      </c>
      <c r="B43" s="146">
        <v>3.0</v>
      </c>
      <c r="C43" s="146">
        <v>24.0</v>
      </c>
      <c r="D43" s="170">
        <f t="shared" si="18"/>
        <v>72</v>
      </c>
      <c r="E43" s="146">
        <v>2.7</v>
      </c>
      <c r="F43" s="146">
        <v>4.0</v>
      </c>
      <c r="G43" s="146" t="str">
        <f t="shared" si="26"/>
        <v>32.5%</v>
      </c>
      <c r="H43" s="146">
        <v>2.0</v>
      </c>
      <c r="I43" s="170">
        <f t="shared" si="19"/>
        <v>48</v>
      </c>
      <c r="J43" s="203">
        <v>0.0</v>
      </c>
      <c r="K43" s="166">
        <f t="shared" si="3"/>
        <v>0</v>
      </c>
      <c r="L43" s="181">
        <f t="shared" si="13"/>
        <v>1</v>
      </c>
      <c r="M43" s="94">
        <f t="shared" si="25"/>
        <v>24</v>
      </c>
      <c r="N43" s="94">
        <f t="shared" si="27"/>
        <v>129.6</v>
      </c>
      <c r="O43" s="94">
        <f t="shared" si="28"/>
        <v>192</v>
      </c>
      <c r="P43" s="94">
        <f t="shared" si="29"/>
        <v>62.4</v>
      </c>
      <c r="Q43" s="91"/>
    </row>
    <row r="44" ht="15.75" customHeight="1">
      <c r="A44" s="146" t="s">
        <v>340</v>
      </c>
      <c r="B44" s="146">
        <v>1.0</v>
      </c>
      <c r="C44" s="146">
        <v>24.0</v>
      </c>
      <c r="D44" s="170">
        <f t="shared" si="18"/>
        <v>24</v>
      </c>
      <c r="E44" s="146">
        <v>3.41</v>
      </c>
      <c r="F44" s="146">
        <v>5.0</v>
      </c>
      <c r="G44" s="146" t="str">
        <f t="shared" si="26"/>
        <v>31.8%</v>
      </c>
      <c r="H44" s="146">
        <v>1.0</v>
      </c>
      <c r="I44" s="170">
        <f t="shared" si="19"/>
        <v>24</v>
      </c>
      <c r="J44" s="203"/>
      <c r="K44" s="166">
        <f t="shared" si="3"/>
        <v>0</v>
      </c>
      <c r="L44" s="181">
        <f t="shared" si="13"/>
        <v>0</v>
      </c>
      <c r="M44" s="94">
        <f t="shared" si="25"/>
        <v>0</v>
      </c>
      <c r="N44" s="94">
        <f t="shared" si="27"/>
        <v>81.84</v>
      </c>
      <c r="O44" s="94">
        <f t="shared" si="28"/>
        <v>120</v>
      </c>
      <c r="P44" s="94">
        <f t="shared" si="29"/>
        <v>38.16</v>
      </c>
      <c r="Q44" s="91"/>
    </row>
    <row r="45" ht="15.75" customHeight="1">
      <c r="A45" s="146" t="s">
        <v>337</v>
      </c>
      <c r="B45" s="146">
        <v>2.0</v>
      </c>
      <c r="C45" s="146">
        <v>24.0</v>
      </c>
      <c r="D45" s="170">
        <f t="shared" si="18"/>
        <v>48</v>
      </c>
      <c r="E45" s="146">
        <v>3.75</v>
      </c>
      <c r="F45" s="146">
        <v>5.0</v>
      </c>
      <c r="G45" s="146" t="str">
        <f t="shared" si="26"/>
        <v>25%</v>
      </c>
      <c r="H45" s="146">
        <v>1.0</v>
      </c>
      <c r="I45" s="170">
        <f t="shared" si="19"/>
        <v>24</v>
      </c>
      <c r="J45" s="203">
        <v>0.0</v>
      </c>
      <c r="K45" s="166">
        <f t="shared" si="3"/>
        <v>0</v>
      </c>
      <c r="L45" s="181">
        <f t="shared" si="13"/>
        <v>1</v>
      </c>
      <c r="M45" s="94">
        <f t="shared" si="25"/>
        <v>24</v>
      </c>
      <c r="N45" s="94">
        <f t="shared" si="27"/>
        <v>90</v>
      </c>
      <c r="O45" s="94">
        <f t="shared" si="28"/>
        <v>120</v>
      </c>
      <c r="P45" s="94">
        <f t="shared" si="29"/>
        <v>30</v>
      </c>
      <c r="Q45" s="91"/>
    </row>
    <row r="46" ht="15.75" customHeight="1">
      <c r="A46" s="146" t="s">
        <v>341</v>
      </c>
      <c r="B46" s="146">
        <v>23.0</v>
      </c>
      <c r="C46" s="146">
        <v>24.0</v>
      </c>
      <c r="D46" s="170">
        <f t="shared" si="18"/>
        <v>552</v>
      </c>
      <c r="E46" s="146">
        <v>0.6</v>
      </c>
      <c r="F46" s="146">
        <v>1.0</v>
      </c>
      <c r="G46" s="146" t="str">
        <f t="shared" si="26"/>
        <v>40%</v>
      </c>
      <c r="H46" s="146">
        <v>23.0</v>
      </c>
      <c r="I46" s="170">
        <f t="shared" si="19"/>
        <v>552</v>
      </c>
      <c r="J46" s="203">
        <v>0.0</v>
      </c>
      <c r="K46" s="166">
        <f t="shared" si="3"/>
        <v>0</v>
      </c>
      <c r="L46" s="181">
        <f t="shared" si="13"/>
        <v>0</v>
      </c>
      <c r="M46" s="94">
        <f t="shared" si="25"/>
        <v>0</v>
      </c>
      <c r="N46" s="94">
        <f t="shared" si="27"/>
        <v>331.2</v>
      </c>
      <c r="O46" s="94">
        <f t="shared" si="28"/>
        <v>552</v>
      </c>
      <c r="P46" s="94">
        <f t="shared" si="29"/>
        <v>220.8</v>
      </c>
      <c r="Q46" s="91"/>
    </row>
    <row r="47" ht="15.75" customHeight="1">
      <c r="A47" s="146" t="s">
        <v>342</v>
      </c>
      <c r="B47" s="146">
        <v>13.0</v>
      </c>
      <c r="C47" s="146">
        <v>24.0</v>
      </c>
      <c r="D47" s="191">
        <f t="shared" si="18"/>
        <v>312</v>
      </c>
      <c r="E47" s="146">
        <v>0.45</v>
      </c>
      <c r="F47" s="146">
        <v>1.0</v>
      </c>
      <c r="G47" s="146" t="str">
        <f t="shared" si="26"/>
        <v>55.%</v>
      </c>
      <c r="H47" s="146">
        <v>13.0</v>
      </c>
      <c r="I47" s="170">
        <f t="shared" si="19"/>
        <v>312</v>
      </c>
      <c r="J47" s="203">
        <v>0.0</v>
      </c>
      <c r="K47" s="166">
        <f t="shared" si="3"/>
        <v>0</v>
      </c>
      <c r="L47" s="181">
        <f t="shared" si="13"/>
        <v>0</v>
      </c>
      <c r="M47" s="94">
        <f t="shared" si="25"/>
        <v>0</v>
      </c>
      <c r="N47" s="94">
        <f t="shared" si="27"/>
        <v>140.4</v>
      </c>
      <c r="O47" s="94">
        <f t="shared" si="28"/>
        <v>312</v>
      </c>
      <c r="P47" s="94">
        <f t="shared" si="29"/>
        <v>171.6</v>
      </c>
      <c r="Q47" s="91"/>
    </row>
    <row r="48" ht="15.75" customHeight="1">
      <c r="A48" s="146" t="s">
        <v>343</v>
      </c>
      <c r="B48" s="146">
        <v>1.0</v>
      </c>
      <c r="C48" s="146">
        <v>24.0</v>
      </c>
      <c r="D48" s="191">
        <f t="shared" si="18"/>
        <v>24</v>
      </c>
      <c r="E48" s="146">
        <v>2.17</v>
      </c>
      <c r="F48" s="146">
        <v>3.0</v>
      </c>
      <c r="G48" s="146" t="str">
        <f t="shared" si="26"/>
        <v>27.6666666666667%</v>
      </c>
      <c r="H48" s="146">
        <v>1.0</v>
      </c>
      <c r="I48" s="170">
        <f t="shared" si="19"/>
        <v>24</v>
      </c>
      <c r="J48" s="203">
        <v>0.0</v>
      </c>
      <c r="K48" s="166">
        <f t="shared" si="3"/>
        <v>0</v>
      </c>
      <c r="L48" s="181">
        <f t="shared" si="13"/>
        <v>0</v>
      </c>
      <c r="M48" s="94">
        <f t="shared" si="25"/>
        <v>0</v>
      </c>
      <c r="N48" s="94">
        <f t="shared" si="27"/>
        <v>52.08</v>
      </c>
      <c r="O48" s="94">
        <f t="shared" si="28"/>
        <v>72</v>
      </c>
      <c r="P48" s="94">
        <f t="shared" si="29"/>
        <v>19.92</v>
      </c>
      <c r="Q48" s="91"/>
    </row>
    <row r="49" ht="15.75" customHeight="1">
      <c r="A49" s="146" t="s">
        <v>344</v>
      </c>
      <c r="B49" s="146">
        <v>2.0</v>
      </c>
      <c r="C49" s="146">
        <v>24.0</v>
      </c>
      <c r="D49" s="191">
        <f t="shared" si="18"/>
        <v>48</v>
      </c>
      <c r="E49" s="146">
        <v>1.91</v>
      </c>
      <c r="F49" s="146">
        <v>3.0</v>
      </c>
      <c r="G49" s="146" t="str">
        <f t="shared" si="26"/>
        <v>36.3333333333333%</v>
      </c>
      <c r="H49" s="146">
        <v>1.0</v>
      </c>
      <c r="I49" s="170">
        <f t="shared" si="19"/>
        <v>24</v>
      </c>
      <c r="J49" s="203">
        <v>0.0</v>
      </c>
      <c r="K49" s="166">
        <f t="shared" si="3"/>
        <v>0</v>
      </c>
      <c r="L49" s="181">
        <f t="shared" si="13"/>
        <v>1</v>
      </c>
      <c r="M49" s="94">
        <f t="shared" si="25"/>
        <v>24</v>
      </c>
      <c r="N49" s="94">
        <f t="shared" si="27"/>
        <v>45.84</v>
      </c>
      <c r="O49" s="94">
        <f t="shared" si="28"/>
        <v>72</v>
      </c>
      <c r="P49" s="94">
        <f t="shared" si="29"/>
        <v>26.16</v>
      </c>
      <c r="Q49" s="91"/>
    </row>
    <row r="50" ht="15.75" customHeight="1">
      <c r="A50" s="146" t="s">
        <v>345</v>
      </c>
      <c r="B50" s="146">
        <v>2.0</v>
      </c>
      <c r="C50" s="146">
        <v>24.0</v>
      </c>
      <c r="D50" s="191">
        <f t="shared" si="18"/>
        <v>48</v>
      </c>
      <c r="E50" s="146">
        <v>2.83</v>
      </c>
      <c r="F50" s="146">
        <v>4.0</v>
      </c>
      <c r="G50" s="146" t="str">
        <f t="shared" si="26"/>
        <v>29.25%</v>
      </c>
      <c r="H50" s="146">
        <v>2.0</v>
      </c>
      <c r="I50" s="170">
        <f t="shared" si="19"/>
        <v>48</v>
      </c>
      <c r="J50" s="203">
        <v>0.0</v>
      </c>
      <c r="K50" s="166">
        <f t="shared" si="3"/>
        <v>0</v>
      </c>
      <c r="L50" s="181">
        <f t="shared" si="13"/>
        <v>0</v>
      </c>
      <c r="M50" s="94">
        <f t="shared" si="25"/>
        <v>0</v>
      </c>
      <c r="N50" s="94">
        <f t="shared" si="27"/>
        <v>135.84</v>
      </c>
      <c r="O50" s="94">
        <f t="shared" si="28"/>
        <v>192</v>
      </c>
      <c r="P50" s="94">
        <f t="shared" si="29"/>
        <v>56.16</v>
      </c>
      <c r="Q50" s="91"/>
    </row>
    <row r="51" ht="15.75" customHeight="1">
      <c r="A51" s="146" t="s">
        <v>346</v>
      </c>
      <c r="B51" s="146">
        <v>2.0</v>
      </c>
      <c r="C51" s="146">
        <v>24.0</v>
      </c>
      <c r="D51" s="191">
        <f t="shared" si="18"/>
        <v>48</v>
      </c>
      <c r="E51" s="146">
        <v>3.58</v>
      </c>
      <c r="F51" s="146">
        <v>5.0</v>
      </c>
      <c r="G51" s="146" t="str">
        <f t="shared" si="26"/>
        <v>28.4%</v>
      </c>
      <c r="H51" s="146">
        <v>2.0</v>
      </c>
      <c r="I51" s="170">
        <f t="shared" si="19"/>
        <v>48</v>
      </c>
      <c r="J51" s="203">
        <v>0.0</v>
      </c>
      <c r="K51" s="166">
        <f t="shared" si="3"/>
        <v>0</v>
      </c>
      <c r="L51" s="181">
        <f t="shared" si="13"/>
        <v>0</v>
      </c>
      <c r="M51" s="94">
        <f t="shared" si="25"/>
        <v>0</v>
      </c>
      <c r="N51" s="94">
        <f t="shared" si="27"/>
        <v>171.84</v>
      </c>
      <c r="O51" s="94">
        <f t="shared" si="28"/>
        <v>240</v>
      </c>
      <c r="P51" s="94">
        <f t="shared" si="29"/>
        <v>68.16</v>
      </c>
      <c r="Q51" s="91"/>
    </row>
    <row r="52" ht="15.75" customHeight="1">
      <c r="A52" s="146" t="s">
        <v>347</v>
      </c>
      <c r="B52" s="146">
        <v>1.0</v>
      </c>
      <c r="C52" s="146">
        <v>17.0</v>
      </c>
      <c r="D52" s="191">
        <f t="shared" si="18"/>
        <v>17</v>
      </c>
      <c r="E52" s="146">
        <v>1.6</v>
      </c>
      <c r="F52" s="146">
        <v>3.0</v>
      </c>
      <c r="G52" s="146" t="str">
        <f t="shared" si="26"/>
        <v>46.6666666666667%</v>
      </c>
      <c r="H52" s="146">
        <v>1.0</v>
      </c>
      <c r="I52" s="170">
        <f t="shared" si="19"/>
        <v>17</v>
      </c>
      <c r="J52" s="203">
        <v>0.0</v>
      </c>
      <c r="K52" s="166">
        <f t="shared" si="3"/>
        <v>0</v>
      </c>
      <c r="L52" s="181">
        <f t="shared" si="13"/>
        <v>0</v>
      </c>
      <c r="M52" s="94">
        <f t="shared" si="25"/>
        <v>0</v>
      </c>
      <c r="N52" s="94">
        <f t="shared" si="27"/>
        <v>27.2</v>
      </c>
      <c r="O52" s="94">
        <f t="shared" si="28"/>
        <v>51</v>
      </c>
      <c r="P52" s="94">
        <f t="shared" si="29"/>
        <v>23.8</v>
      </c>
      <c r="Q52" s="91"/>
    </row>
    <row r="53" ht="15.75" customHeight="1">
      <c r="A53" s="146" t="s">
        <v>348</v>
      </c>
      <c r="B53" s="146">
        <v>1.0</v>
      </c>
      <c r="C53" s="146">
        <v>24.0</v>
      </c>
      <c r="D53" s="191">
        <f t="shared" si="18"/>
        <v>24</v>
      </c>
      <c r="E53" s="146">
        <v>4.41</v>
      </c>
      <c r="F53" s="146">
        <v>6.0</v>
      </c>
      <c r="G53" s="94" t="str">
        <f t="shared" si="26"/>
        <v>26.5%</v>
      </c>
      <c r="H53" s="146">
        <v>1.0</v>
      </c>
      <c r="I53" s="170">
        <f t="shared" si="19"/>
        <v>24</v>
      </c>
      <c r="J53" s="203">
        <v>0.0</v>
      </c>
      <c r="K53" s="166">
        <f t="shared" si="3"/>
        <v>0</v>
      </c>
      <c r="L53" s="181">
        <f t="shared" si="13"/>
        <v>0</v>
      </c>
      <c r="M53" s="94">
        <f t="shared" si="25"/>
        <v>0</v>
      </c>
      <c r="N53" s="94">
        <f t="shared" si="27"/>
        <v>105.84</v>
      </c>
      <c r="O53" s="94">
        <f t="shared" si="28"/>
        <v>144</v>
      </c>
      <c r="P53" s="94">
        <f t="shared" si="29"/>
        <v>38.16</v>
      </c>
      <c r="Q53" s="91"/>
    </row>
    <row r="54" ht="15.75" customHeight="1">
      <c r="A54" s="146" t="s">
        <v>345</v>
      </c>
      <c r="B54" s="146">
        <v>2.0</v>
      </c>
      <c r="C54" s="146">
        <v>24.0</v>
      </c>
      <c r="D54" s="191">
        <f t="shared" si="18"/>
        <v>48</v>
      </c>
      <c r="E54" s="146">
        <v>2.7</v>
      </c>
      <c r="F54" s="146">
        <v>4.0</v>
      </c>
      <c r="G54" s="146" t="str">
        <f t="shared" si="26"/>
        <v>32.5%</v>
      </c>
      <c r="H54" s="146">
        <v>2.0</v>
      </c>
      <c r="I54" s="170">
        <f t="shared" si="19"/>
        <v>48</v>
      </c>
      <c r="J54" s="203">
        <v>0.0</v>
      </c>
      <c r="K54" s="166">
        <f t="shared" si="3"/>
        <v>0</v>
      </c>
      <c r="L54" s="181">
        <f t="shared" si="13"/>
        <v>0</v>
      </c>
      <c r="M54" s="94">
        <f t="shared" si="25"/>
        <v>0</v>
      </c>
      <c r="N54" s="94">
        <f t="shared" si="27"/>
        <v>129.6</v>
      </c>
      <c r="O54" s="94">
        <f t="shared" si="28"/>
        <v>192</v>
      </c>
      <c r="P54" s="94">
        <f t="shared" si="29"/>
        <v>62.4</v>
      </c>
      <c r="Q54" s="91"/>
    </row>
    <row r="55" ht="15.75" customHeight="1">
      <c r="A55" s="146" t="s">
        <v>349</v>
      </c>
      <c r="B55" s="146">
        <v>1.0</v>
      </c>
      <c r="C55" s="146">
        <v>12.0</v>
      </c>
      <c r="D55" s="191">
        <f t="shared" si="18"/>
        <v>12</v>
      </c>
      <c r="E55" s="146">
        <v>9.16</v>
      </c>
      <c r="F55" s="146">
        <v>12.0</v>
      </c>
      <c r="G55" s="146" t="str">
        <f t="shared" si="26"/>
        <v>23.6666666666667%</v>
      </c>
      <c r="H55" s="146"/>
      <c r="I55" s="170">
        <f t="shared" si="19"/>
        <v>0</v>
      </c>
      <c r="J55" s="203"/>
      <c r="K55" s="166">
        <f t="shared" si="3"/>
        <v>0</v>
      </c>
      <c r="L55" s="181">
        <f t="shared" si="13"/>
        <v>1</v>
      </c>
      <c r="M55" s="94">
        <f t="shared" si="25"/>
        <v>12</v>
      </c>
      <c r="N55" s="94">
        <f t="shared" si="27"/>
        <v>0</v>
      </c>
      <c r="O55" s="94">
        <f t="shared" si="28"/>
        <v>0</v>
      </c>
      <c r="P55" s="94">
        <f t="shared" si="29"/>
        <v>0</v>
      </c>
      <c r="Q55" s="91"/>
    </row>
    <row r="56" ht="15.75" customHeight="1">
      <c r="A56" s="146" t="s">
        <v>350</v>
      </c>
      <c r="B56" s="146">
        <v>2.0</v>
      </c>
      <c r="C56" s="146">
        <v>30.0</v>
      </c>
      <c r="D56" s="191">
        <f t="shared" si="18"/>
        <v>60</v>
      </c>
      <c r="E56" s="146">
        <v>1.26</v>
      </c>
      <c r="F56" s="146">
        <v>2.0</v>
      </c>
      <c r="G56" s="146" t="str">
        <f t="shared" si="26"/>
        <v>37%</v>
      </c>
      <c r="H56" s="146">
        <v>2.0</v>
      </c>
      <c r="I56" s="170">
        <f t="shared" si="19"/>
        <v>60</v>
      </c>
      <c r="J56" s="203">
        <v>0.0</v>
      </c>
      <c r="K56" s="166">
        <f t="shared" si="3"/>
        <v>0</v>
      </c>
      <c r="L56" s="181">
        <f t="shared" si="13"/>
        <v>0</v>
      </c>
      <c r="M56" s="94">
        <f t="shared" si="25"/>
        <v>0</v>
      </c>
      <c r="N56" s="94">
        <f t="shared" si="27"/>
        <v>75.6</v>
      </c>
      <c r="O56" s="94">
        <f t="shared" si="28"/>
        <v>120</v>
      </c>
      <c r="P56" s="94">
        <f t="shared" si="29"/>
        <v>44.4</v>
      </c>
      <c r="Q56" s="91"/>
    </row>
    <row r="57" ht="15.75" customHeight="1">
      <c r="A57" s="11" t="s">
        <v>351</v>
      </c>
      <c r="B57" s="11"/>
      <c r="C57" s="11"/>
      <c r="D57" s="191">
        <f t="shared" si="18"/>
        <v>0</v>
      </c>
      <c r="E57" s="159"/>
      <c r="F57" s="159"/>
      <c r="G57" s="159" t="str">
        <f t="shared" si="26"/>
        <v>#DIV/0!</v>
      </c>
      <c r="H57" s="159"/>
      <c r="I57" s="170">
        <f t="shared" si="19"/>
        <v>0</v>
      </c>
      <c r="J57" s="159"/>
      <c r="K57" s="166">
        <f t="shared" si="3"/>
        <v>0</v>
      </c>
      <c r="L57" s="181">
        <f t="shared" si="13"/>
        <v>0</v>
      </c>
      <c r="M57" s="159">
        <f t="shared" si="25"/>
        <v>0</v>
      </c>
      <c r="N57" s="159">
        <f t="shared" ref="N57:P57" si="30">SUM(N41:N56)
</f>
        <v>1638.68</v>
      </c>
      <c r="O57" s="159">
        <f t="shared" si="30"/>
        <v>2799</v>
      </c>
      <c r="P57" s="159">
        <f t="shared" si="30"/>
        <v>1160.32</v>
      </c>
      <c r="Q57" s="212"/>
    </row>
    <row r="58" ht="15.75" customHeight="1">
      <c r="A58" s="146" t="s">
        <v>336</v>
      </c>
      <c r="B58" s="146">
        <v>24.0</v>
      </c>
      <c r="C58" s="146">
        <v>12.0</v>
      </c>
      <c r="D58" s="191">
        <f t="shared" si="18"/>
        <v>288</v>
      </c>
      <c r="E58" s="146">
        <v>0.33</v>
      </c>
      <c r="F58" s="146">
        <v>1.0</v>
      </c>
      <c r="G58" s="94" t="str">
        <f t="shared" si="26"/>
        <v>67%</v>
      </c>
      <c r="H58" s="146">
        <v>24.0</v>
      </c>
      <c r="I58" s="170">
        <f t="shared" si="19"/>
        <v>288</v>
      </c>
      <c r="J58" s="146">
        <v>0.0</v>
      </c>
      <c r="K58" s="166">
        <f t="shared" si="3"/>
        <v>0</v>
      </c>
      <c r="L58" s="181">
        <f t="shared" si="13"/>
        <v>0</v>
      </c>
      <c r="M58" s="94">
        <f t="shared" si="25"/>
        <v>0</v>
      </c>
      <c r="N58" s="94">
        <f t="shared" ref="N58:N73" si="31">(D58 + K58 - M58) * E58</f>
        <v>95.04</v>
      </c>
      <c r="O58" s="94">
        <f t="shared" ref="O58:O73" si="32">I58*F58</f>
        <v>288</v>
      </c>
      <c r="P58" s="94">
        <f t="shared" ref="P58:P73" si="33">O58-N58</f>
        <v>192.96</v>
      </c>
      <c r="Q58" s="91"/>
    </row>
    <row r="59" ht="15.75" customHeight="1">
      <c r="A59" s="146" t="s">
        <v>352</v>
      </c>
      <c r="B59" s="146">
        <v>1.0</v>
      </c>
      <c r="C59" s="146">
        <v>24.0</v>
      </c>
      <c r="D59" s="191">
        <f t="shared" si="18"/>
        <v>24</v>
      </c>
      <c r="E59" s="146">
        <v>2.5</v>
      </c>
      <c r="F59" s="146">
        <v>3.0</v>
      </c>
      <c r="G59" s="94" t="str">
        <f t="shared" si="26"/>
        <v>16.6666666666667%</v>
      </c>
      <c r="H59" s="146">
        <v>1.0</v>
      </c>
      <c r="I59" s="170">
        <f t="shared" si="19"/>
        <v>24</v>
      </c>
      <c r="J59" s="94"/>
      <c r="K59" s="166">
        <f t="shared" si="3"/>
        <v>0</v>
      </c>
      <c r="L59" s="181">
        <f t="shared" si="13"/>
        <v>0</v>
      </c>
      <c r="M59" s="94">
        <f t="shared" si="25"/>
        <v>0</v>
      </c>
      <c r="N59" s="94">
        <f t="shared" si="31"/>
        <v>60</v>
      </c>
      <c r="O59" s="94">
        <f t="shared" si="32"/>
        <v>72</v>
      </c>
      <c r="P59" s="94">
        <f t="shared" si="33"/>
        <v>12</v>
      </c>
      <c r="Q59" s="91"/>
    </row>
    <row r="60" ht="15.75" customHeight="1">
      <c r="A60" s="146" t="s">
        <v>353</v>
      </c>
      <c r="B60" s="146">
        <v>1.0</v>
      </c>
      <c r="C60" s="146">
        <v>24.0</v>
      </c>
      <c r="D60" s="191">
        <f t="shared" si="18"/>
        <v>24</v>
      </c>
      <c r="E60" s="146">
        <v>2.37</v>
      </c>
      <c r="F60" s="146">
        <v>3.0</v>
      </c>
      <c r="G60" s="94" t="str">
        <f t="shared" si="26"/>
        <v>21.%</v>
      </c>
      <c r="H60" s="146">
        <v>1.0</v>
      </c>
      <c r="I60" s="170">
        <f t="shared" si="19"/>
        <v>24</v>
      </c>
      <c r="J60" s="94"/>
      <c r="K60" s="166">
        <f t="shared" si="3"/>
        <v>0</v>
      </c>
      <c r="L60" s="181">
        <f t="shared" si="13"/>
        <v>0</v>
      </c>
      <c r="M60" s="94">
        <f t="shared" si="25"/>
        <v>0</v>
      </c>
      <c r="N60" s="94">
        <f t="shared" si="31"/>
        <v>56.88</v>
      </c>
      <c r="O60" s="94">
        <f t="shared" si="32"/>
        <v>72</v>
      </c>
      <c r="P60" s="94">
        <f t="shared" si="33"/>
        <v>15.12</v>
      </c>
      <c r="Q60" s="91"/>
    </row>
    <row r="61" ht="15.75" customHeight="1">
      <c r="A61" s="146" t="s">
        <v>354</v>
      </c>
      <c r="B61" s="146">
        <v>2.0</v>
      </c>
      <c r="C61" s="146">
        <v>24.0</v>
      </c>
      <c r="D61" s="191">
        <f t="shared" si="18"/>
        <v>48</v>
      </c>
      <c r="E61" s="146">
        <v>3.37</v>
      </c>
      <c r="F61" s="146">
        <v>5.0</v>
      </c>
      <c r="G61" s="94" t="str">
        <f t="shared" si="26"/>
        <v>32.6%</v>
      </c>
      <c r="H61" s="146">
        <v>2.0</v>
      </c>
      <c r="I61" s="170">
        <f t="shared" si="19"/>
        <v>48</v>
      </c>
      <c r="J61" s="94"/>
      <c r="K61" s="166">
        <f t="shared" si="3"/>
        <v>0</v>
      </c>
      <c r="L61" s="181">
        <f t="shared" si="13"/>
        <v>0</v>
      </c>
      <c r="M61" s="94">
        <f t="shared" si="25"/>
        <v>0</v>
      </c>
      <c r="N61" s="94">
        <f t="shared" si="31"/>
        <v>161.76</v>
      </c>
      <c r="O61" s="94">
        <f t="shared" si="32"/>
        <v>240</v>
      </c>
      <c r="P61" s="94">
        <f t="shared" si="33"/>
        <v>78.24</v>
      </c>
      <c r="Q61" s="91"/>
    </row>
    <row r="62" ht="15.75" customHeight="1">
      <c r="A62" s="146" t="s">
        <v>355</v>
      </c>
      <c r="B62" s="146">
        <v>1.0</v>
      </c>
      <c r="C62" s="146">
        <v>24.0</v>
      </c>
      <c r="D62" s="191">
        <f t="shared" si="18"/>
        <v>24</v>
      </c>
      <c r="E62" s="146">
        <v>2.91</v>
      </c>
      <c r="F62" s="146">
        <v>4.0</v>
      </c>
      <c r="G62" s="94" t="str">
        <f t="shared" si="26"/>
        <v>27.25%</v>
      </c>
      <c r="H62" s="146">
        <v>1.0</v>
      </c>
      <c r="I62" s="170">
        <f t="shared" si="19"/>
        <v>24</v>
      </c>
      <c r="J62" s="94"/>
      <c r="K62" s="166">
        <f t="shared" si="3"/>
        <v>0</v>
      </c>
      <c r="L62" s="181">
        <f t="shared" si="13"/>
        <v>0</v>
      </c>
      <c r="M62" s="94">
        <f t="shared" si="25"/>
        <v>0</v>
      </c>
      <c r="N62" s="94">
        <f t="shared" si="31"/>
        <v>69.84</v>
      </c>
      <c r="O62" s="94">
        <f t="shared" si="32"/>
        <v>96</v>
      </c>
      <c r="P62" s="94">
        <f t="shared" si="33"/>
        <v>26.16</v>
      </c>
      <c r="Q62" s="91"/>
    </row>
    <row r="63" ht="15.75" customHeight="1">
      <c r="A63" s="146" t="s">
        <v>356</v>
      </c>
      <c r="B63" s="146">
        <v>5.0</v>
      </c>
      <c r="C63" s="146">
        <v>24.0</v>
      </c>
      <c r="D63" s="191">
        <f t="shared" si="18"/>
        <v>120</v>
      </c>
      <c r="E63" s="146">
        <v>2.7</v>
      </c>
      <c r="F63" s="146">
        <v>4.0</v>
      </c>
      <c r="G63" s="94" t="str">
        <f t="shared" si="26"/>
        <v>32.5%</v>
      </c>
      <c r="H63" s="146">
        <v>5.0</v>
      </c>
      <c r="I63" s="170">
        <f t="shared" si="19"/>
        <v>120</v>
      </c>
      <c r="J63" s="146">
        <v>0.0</v>
      </c>
      <c r="K63" s="166">
        <f t="shared" si="3"/>
        <v>0</v>
      </c>
      <c r="L63" s="181">
        <f t="shared" si="13"/>
        <v>0</v>
      </c>
      <c r="M63" s="94">
        <f t="shared" si="25"/>
        <v>0</v>
      </c>
      <c r="N63" s="94">
        <f t="shared" si="31"/>
        <v>324</v>
      </c>
      <c r="O63" s="94">
        <f t="shared" si="32"/>
        <v>480</v>
      </c>
      <c r="P63" s="94">
        <f t="shared" si="33"/>
        <v>156</v>
      </c>
      <c r="Q63" s="91"/>
    </row>
    <row r="64" ht="15.75" customHeight="1">
      <c r="A64" s="146" t="s">
        <v>341</v>
      </c>
      <c r="B64" s="146">
        <v>13.0</v>
      </c>
      <c r="C64" s="146">
        <v>24.0</v>
      </c>
      <c r="D64" s="191">
        <f t="shared" si="18"/>
        <v>312</v>
      </c>
      <c r="E64" s="146">
        <v>0.6</v>
      </c>
      <c r="F64" s="146">
        <v>1.0</v>
      </c>
      <c r="G64" s="94" t="str">
        <f t="shared" si="26"/>
        <v>40%</v>
      </c>
      <c r="H64" s="146">
        <v>13.0</v>
      </c>
      <c r="I64" s="170">
        <f t="shared" si="19"/>
        <v>312</v>
      </c>
      <c r="J64" s="146">
        <v>0.0</v>
      </c>
      <c r="K64" s="166">
        <f t="shared" si="3"/>
        <v>0</v>
      </c>
      <c r="L64" s="181">
        <f t="shared" si="13"/>
        <v>0</v>
      </c>
      <c r="M64" s="94">
        <f t="shared" si="25"/>
        <v>0</v>
      </c>
      <c r="N64" s="94">
        <f t="shared" si="31"/>
        <v>187.2</v>
      </c>
      <c r="O64" s="94">
        <f t="shared" si="32"/>
        <v>312</v>
      </c>
      <c r="P64" s="94">
        <f t="shared" si="33"/>
        <v>124.8</v>
      </c>
      <c r="Q64" s="91"/>
    </row>
    <row r="65" ht="15.75" customHeight="1">
      <c r="A65" s="146" t="s">
        <v>357</v>
      </c>
      <c r="B65" s="146">
        <v>10.0</v>
      </c>
      <c r="C65" s="146">
        <v>24.0</v>
      </c>
      <c r="D65" s="191">
        <f t="shared" si="18"/>
        <v>240</v>
      </c>
      <c r="E65" s="146">
        <v>0.45</v>
      </c>
      <c r="F65" s="146">
        <v>1.0</v>
      </c>
      <c r="G65" s="94" t="str">
        <f t="shared" si="26"/>
        <v>55.%</v>
      </c>
      <c r="H65" s="146">
        <v>10.0</v>
      </c>
      <c r="I65" s="170">
        <f t="shared" si="19"/>
        <v>240</v>
      </c>
      <c r="J65" s="146">
        <v>0.0</v>
      </c>
      <c r="K65" s="166">
        <f t="shared" si="3"/>
        <v>0</v>
      </c>
      <c r="L65" s="181">
        <f t="shared" si="13"/>
        <v>0</v>
      </c>
      <c r="M65" s="94">
        <f t="shared" si="25"/>
        <v>0</v>
      </c>
      <c r="N65" s="94">
        <f t="shared" si="31"/>
        <v>108</v>
      </c>
      <c r="O65" s="94">
        <f t="shared" si="32"/>
        <v>240</v>
      </c>
      <c r="P65" s="94">
        <f t="shared" si="33"/>
        <v>132</v>
      </c>
      <c r="Q65" s="91"/>
    </row>
    <row r="66" ht="15.75" customHeight="1">
      <c r="A66" s="146" t="s">
        <v>358</v>
      </c>
      <c r="B66" s="146">
        <v>6.0</v>
      </c>
      <c r="C66" s="146">
        <v>12.0</v>
      </c>
      <c r="D66" s="191">
        <f t="shared" si="18"/>
        <v>72</v>
      </c>
      <c r="E66" s="146">
        <v>1.66</v>
      </c>
      <c r="F66" s="146">
        <v>3.0</v>
      </c>
      <c r="G66" s="94" t="str">
        <f t="shared" si="26"/>
        <v>44.6666666666667%</v>
      </c>
      <c r="H66" s="146">
        <v>6.0</v>
      </c>
      <c r="I66" s="170">
        <f t="shared" si="19"/>
        <v>72</v>
      </c>
      <c r="J66" s="146">
        <v>0.0</v>
      </c>
      <c r="K66" s="166">
        <f t="shared" si="3"/>
        <v>0</v>
      </c>
      <c r="L66" s="181">
        <f t="shared" si="13"/>
        <v>0</v>
      </c>
      <c r="M66" s="94">
        <f t="shared" si="25"/>
        <v>0</v>
      </c>
      <c r="N66" s="94">
        <f t="shared" si="31"/>
        <v>119.52</v>
      </c>
      <c r="O66" s="94">
        <f t="shared" si="32"/>
        <v>216</v>
      </c>
      <c r="P66" s="94">
        <f t="shared" si="33"/>
        <v>96.48</v>
      </c>
      <c r="Q66" s="91"/>
    </row>
    <row r="67" ht="15.75" customHeight="1">
      <c r="A67" s="146" t="s">
        <v>359</v>
      </c>
      <c r="B67" s="146">
        <v>1.0</v>
      </c>
      <c r="C67" s="146">
        <v>24.0</v>
      </c>
      <c r="D67" s="191">
        <f t="shared" si="18"/>
        <v>24</v>
      </c>
      <c r="E67" s="146">
        <v>0.91</v>
      </c>
      <c r="F67" s="146">
        <v>2.0</v>
      </c>
      <c r="G67" s="94" t="str">
        <f t="shared" si="26"/>
        <v>54.5%</v>
      </c>
      <c r="H67" s="146">
        <v>1.0</v>
      </c>
      <c r="I67" s="170">
        <f t="shared" si="19"/>
        <v>24</v>
      </c>
      <c r="J67" s="146"/>
      <c r="K67" s="166">
        <f t="shared" si="3"/>
        <v>0</v>
      </c>
      <c r="L67" s="181">
        <f t="shared" si="13"/>
        <v>0</v>
      </c>
      <c r="M67" s="94">
        <f t="shared" si="25"/>
        <v>0</v>
      </c>
      <c r="N67" s="94">
        <f t="shared" si="31"/>
        <v>21.84</v>
      </c>
      <c r="O67" s="94">
        <f t="shared" si="32"/>
        <v>48</v>
      </c>
      <c r="P67" s="94">
        <f t="shared" si="33"/>
        <v>26.16</v>
      </c>
      <c r="Q67" s="91"/>
    </row>
    <row r="68" ht="15.75" customHeight="1">
      <c r="A68" s="146" t="s">
        <v>350</v>
      </c>
      <c r="B68" s="146">
        <v>1.0</v>
      </c>
      <c r="C68" s="146">
        <v>24.0</v>
      </c>
      <c r="D68" s="191">
        <f t="shared" si="18"/>
        <v>24</v>
      </c>
      <c r="E68" s="146">
        <v>1.5</v>
      </c>
      <c r="F68" s="146">
        <v>2.0</v>
      </c>
      <c r="G68" s="94" t="str">
        <f t="shared" si="26"/>
        <v>25%</v>
      </c>
      <c r="H68" s="146">
        <v>1.0</v>
      </c>
      <c r="I68" s="170">
        <f t="shared" si="19"/>
        <v>24</v>
      </c>
      <c r="J68" s="94"/>
      <c r="K68" s="166">
        <f t="shared" si="3"/>
        <v>0</v>
      </c>
      <c r="L68" s="181">
        <f t="shared" si="13"/>
        <v>0</v>
      </c>
      <c r="M68" s="94">
        <f t="shared" si="25"/>
        <v>0</v>
      </c>
      <c r="N68" s="94">
        <f t="shared" si="31"/>
        <v>36</v>
      </c>
      <c r="O68" s="94">
        <f t="shared" si="32"/>
        <v>48</v>
      </c>
      <c r="P68" s="94">
        <f t="shared" si="33"/>
        <v>12</v>
      </c>
      <c r="Q68" s="91"/>
    </row>
    <row r="69" ht="15.75" customHeight="1">
      <c r="A69" s="146" t="s">
        <v>360</v>
      </c>
      <c r="B69" s="146">
        <v>1.0</v>
      </c>
      <c r="C69" s="146">
        <v>24.0</v>
      </c>
      <c r="D69" s="191">
        <f t="shared" si="18"/>
        <v>24</v>
      </c>
      <c r="E69" s="146">
        <v>1.95</v>
      </c>
      <c r="F69" s="146">
        <v>3.0</v>
      </c>
      <c r="G69" s="94" t="str">
        <f t="shared" si="26"/>
        <v>35%</v>
      </c>
      <c r="H69" s="146">
        <v>1.0</v>
      </c>
      <c r="I69" s="170">
        <f t="shared" si="19"/>
        <v>24</v>
      </c>
      <c r="J69" s="94"/>
      <c r="K69" s="166">
        <f t="shared" si="3"/>
        <v>0</v>
      </c>
      <c r="L69" s="181">
        <f t="shared" si="13"/>
        <v>0</v>
      </c>
      <c r="M69" s="94">
        <f t="shared" si="25"/>
        <v>0</v>
      </c>
      <c r="N69" s="94">
        <f t="shared" si="31"/>
        <v>46.8</v>
      </c>
      <c r="O69" s="94">
        <f t="shared" si="32"/>
        <v>72</v>
      </c>
      <c r="P69" s="94">
        <f t="shared" si="33"/>
        <v>25.2</v>
      </c>
      <c r="Q69" s="91"/>
    </row>
    <row r="70" ht="15.75" customHeight="1">
      <c r="A70" s="146" t="s">
        <v>361</v>
      </c>
      <c r="B70" s="146">
        <v>1.0</v>
      </c>
      <c r="C70" s="146">
        <v>24.0</v>
      </c>
      <c r="D70" s="191">
        <f t="shared" si="18"/>
        <v>24</v>
      </c>
      <c r="E70" s="146">
        <v>2.62</v>
      </c>
      <c r="F70" s="146">
        <v>4.0</v>
      </c>
      <c r="G70" s="94" t="str">
        <f t="shared" si="26"/>
        <v>34.5%</v>
      </c>
      <c r="H70" s="94"/>
      <c r="I70" s="170">
        <f t="shared" si="19"/>
        <v>0</v>
      </c>
      <c r="J70" s="94"/>
      <c r="K70" s="166">
        <f t="shared" si="3"/>
        <v>0</v>
      </c>
      <c r="L70" s="181">
        <f t="shared" si="13"/>
        <v>1</v>
      </c>
      <c r="M70" s="94">
        <f t="shared" si="25"/>
        <v>24</v>
      </c>
      <c r="N70" s="94">
        <f t="shared" si="31"/>
        <v>0</v>
      </c>
      <c r="O70" s="94">
        <f t="shared" si="32"/>
        <v>0</v>
      </c>
      <c r="P70" s="94">
        <f t="shared" si="33"/>
        <v>0</v>
      </c>
      <c r="Q70" s="91"/>
    </row>
    <row r="71" ht="15.75" customHeight="1">
      <c r="A71" s="146" t="s">
        <v>348</v>
      </c>
      <c r="B71" s="146">
        <v>1.0</v>
      </c>
      <c r="C71" s="146">
        <v>24.0</v>
      </c>
      <c r="D71" s="191">
        <f t="shared" si="18"/>
        <v>24</v>
      </c>
      <c r="E71" s="146">
        <v>4.16</v>
      </c>
      <c r="F71" s="146">
        <v>6.0</v>
      </c>
      <c r="G71" s="94" t="str">
        <f t="shared" si="26"/>
        <v>30.6666666666667%</v>
      </c>
      <c r="H71" s="94"/>
      <c r="I71" s="170">
        <f t="shared" si="19"/>
        <v>0</v>
      </c>
      <c r="J71" s="94"/>
      <c r="K71" s="166">
        <f t="shared" si="3"/>
        <v>0</v>
      </c>
      <c r="L71" s="181">
        <f t="shared" si="13"/>
        <v>1</v>
      </c>
      <c r="M71" s="94">
        <f t="shared" si="25"/>
        <v>24</v>
      </c>
      <c r="N71" s="94">
        <f t="shared" si="31"/>
        <v>0</v>
      </c>
      <c r="O71" s="94">
        <f t="shared" si="32"/>
        <v>0</v>
      </c>
      <c r="P71" s="94">
        <f t="shared" si="33"/>
        <v>0</v>
      </c>
      <c r="Q71" s="91"/>
    </row>
    <row r="72" ht="15.75" customHeight="1">
      <c r="A72" s="146" t="s">
        <v>362</v>
      </c>
      <c r="B72" s="146">
        <v>1.0</v>
      </c>
      <c r="C72" s="146">
        <v>24.0</v>
      </c>
      <c r="D72" s="191">
        <f t="shared" si="18"/>
        <v>24</v>
      </c>
      <c r="E72" s="146">
        <v>2.87</v>
      </c>
      <c r="F72" s="146">
        <v>4.0</v>
      </c>
      <c r="G72" s="94" t="str">
        <f t="shared" si="26"/>
        <v>28.25%</v>
      </c>
      <c r="H72" s="94"/>
      <c r="I72" s="191">
        <f t="shared" si="19"/>
        <v>0</v>
      </c>
      <c r="J72" s="94"/>
      <c r="K72" s="175">
        <f t="shared" si="3"/>
        <v>0</v>
      </c>
      <c r="L72" s="181">
        <f t="shared" si="13"/>
        <v>1</v>
      </c>
      <c r="M72" s="94">
        <f t="shared" si="25"/>
        <v>24</v>
      </c>
      <c r="N72" s="94">
        <f t="shared" si="31"/>
        <v>0</v>
      </c>
      <c r="O72" s="94">
        <f t="shared" si="32"/>
        <v>0</v>
      </c>
      <c r="P72" s="94">
        <f t="shared" si="33"/>
        <v>0</v>
      </c>
      <c r="Q72" s="91"/>
    </row>
    <row r="73" ht="15.75" customHeight="1">
      <c r="A73" s="146"/>
      <c r="B73" s="146"/>
      <c r="C73" s="146"/>
      <c r="D73" s="146">
        <f t="shared" si="18"/>
        <v>0</v>
      </c>
      <c r="E73" s="146"/>
      <c r="F73" s="146"/>
      <c r="G73" s="94" t="str">
        <f t="shared" si="26"/>
        <v>#DIV/0!</v>
      </c>
      <c r="H73" s="94"/>
      <c r="I73" s="146">
        <f t="shared" si="19"/>
        <v>0</v>
      </c>
      <c r="J73" s="94"/>
      <c r="K73" s="146">
        <f t="shared" si="3"/>
        <v>0</v>
      </c>
      <c r="L73" s="181">
        <f t="shared" si="13"/>
        <v>0</v>
      </c>
      <c r="M73" s="94">
        <f t="shared" si="25"/>
        <v>0</v>
      </c>
      <c r="N73" s="94">
        <f t="shared" si="31"/>
        <v>0</v>
      </c>
      <c r="O73" s="94">
        <f t="shared" si="32"/>
        <v>0</v>
      </c>
      <c r="P73" s="94">
        <f t="shared" si="33"/>
        <v>0</v>
      </c>
      <c r="Q73" s="91"/>
    </row>
    <row r="74" ht="15.75" customHeight="1">
      <c r="A74" s="11" t="s">
        <v>363</v>
      </c>
      <c r="B74" s="11"/>
      <c r="C74" s="11"/>
      <c r="D74" s="191">
        <f t="shared" si="18"/>
        <v>0</v>
      </c>
      <c r="E74" s="159"/>
      <c r="F74" s="159"/>
      <c r="G74" s="159" t="str">
        <f t="shared" si="26"/>
        <v>#DIV/0!</v>
      </c>
      <c r="H74" s="159"/>
      <c r="I74" s="170">
        <f t="shared" si="19"/>
        <v>0</v>
      </c>
      <c r="J74" s="159"/>
      <c r="K74" s="166">
        <f t="shared" si="3"/>
        <v>0</v>
      </c>
      <c r="L74" s="181">
        <f t="shared" si="13"/>
        <v>0</v>
      </c>
      <c r="M74" s="159">
        <f t="shared" si="25"/>
        <v>0</v>
      </c>
      <c r="N74" s="159">
        <f t="shared" ref="N74:O74" si="34">SUM(N60:N66)
</f>
        <v>1027.2</v>
      </c>
      <c r="O74" s="159">
        <f t="shared" si="34"/>
        <v>1656</v>
      </c>
      <c r="P74" s="159">
        <f>SUM(P58:P73)
</f>
        <v>897.12</v>
      </c>
      <c r="Q74" s="212"/>
    </row>
    <row r="75" ht="15.75" customHeight="1">
      <c r="A75" s="146" t="s">
        <v>336</v>
      </c>
      <c r="B75" s="146">
        <v>36.0</v>
      </c>
      <c r="C75" s="146">
        <v>12.0</v>
      </c>
      <c r="D75" s="191">
        <f t="shared" si="18"/>
        <v>432</v>
      </c>
      <c r="E75" s="146">
        <v>0.33</v>
      </c>
      <c r="F75" s="146">
        <v>1.0</v>
      </c>
      <c r="G75" s="94" t="str">
        <f t="shared" si="26"/>
        <v>67%</v>
      </c>
      <c r="H75" s="146">
        <v>36.0</v>
      </c>
      <c r="I75" s="170">
        <f t="shared" si="19"/>
        <v>432</v>
      </c>
      <c r="J75" s="146">
        <v>0.0</v>
      </c>
      <c r="K75" s="166">
        <f t="shared" si="3"/>
        <v>0</v>
      </c>
      <c r="L75" s="181">
        <f>(B75+$J$75)-H75</f>
        <v>0</v>
      </c>
      <c r="M75" s="94">
        <f t="shared" si="25"/>
        <v>0</v>
      </c>
      <c r="N75" s="94">
        <f t="shared" ref="N75:N89" si="35">(D75 + K75 - M75) * E75</f>
        <v>142.56</v>
      </c>
      <c r="O75" s="94">
        <f t="shared" ref="O75:O89" si="36">I75*F75</f>
        <v>432</v>
      </c>
      <c r="P75" s="94">
        <f t="shared" ref="P75:P89" si="37">O75-N75</f>
        <v>289.44</v>
      </c>
      <c r="Q75" s="91"/>
    </row>
    <row r="76" ht="15.75" customHeight="1">
      <c r="A76" s="146" t="s">
        <v>355</v>
      </c>
      <c r="B76" s="146">
        <v>6.0</v>
      </c>
      <c r="C76" s="146">
        <v>24.0</v>
      </c>
      <c r="D76" s="191">
        <f t="shared" si="18"/>
        <v>144</v>
      </c>
      <c r="E76" s="146">
        <v>2.83</v>
      </c>
      <c r="F76" s="146">
        <v>4.0</v>
      </c>
      <c r="G76" s="94" t="str">
        <f t="shared" si="26"/>
        <v>29.25%</v>
      </c>
      <c r="H76" s="146">
        <v>6.0</v>
      </c>
      <c r="I76" s="170">
        <f t="shared" si="19"/>
        <v>144</v>
      </c>
      <c r="J76" s="146">
        <v>0.0</v>
      </c>
      <c r="K76" s="166">
        <f t="shared" si="3"/>
        <v>0</v>
      </c>
      <c r="L76" s="181">
        <f t="shared" ref="L76:L81" si="38">(B76+$J$14)-H76</f>
        <v>0</v>
      </c>
      <c r="M76" s="94">
        <f t="shared" si="25"/>
        <v>0</v>
      </c>
      <c r="N76" s="94">
        <f t="shared" si="35"/>
        <v>407.52</v>
      </c>
      <c r="O76" s="94">
        <f t="shared" si="36"/>
        <v>576</v>
      </c>
      <c r="P76" s="94">
        <f t="shared" si="37"/>
        <v>168.48</v>
      </c>
      <c r="Q76" s="91"/>
    </row>
    <row r="77" ht="15.75" customHeight="1">
      <c r="A77" s="146" t="s">
        <v>350</v>
      </c>
      <c r="B77" s="146">
        <v>2.0</v>
      </c>
      <c r="C77" s="146">
        <v>24.0</v>
      </c>
      <c r="D77" s="191">
        <f t="shared" si="18"/>
        <v>48</v>
      </c>
      <c r="E77" s="146">
        <v>1.23</v>
      </c>
      <c r="F77" s="146">
        <v>2.0</v>
      </c>
      <c r="G77" s="94" t="str">
        <f t="shared" si="26"/>
        <v>38.5%</v>
      </c>
      <c r="H77" s="146">
        <v>2.0</v>
      </c>
      <c r="I77" s="170">
        <f t="shared" si="19"/>
        <v>48</v>
      </c>
      <c r="J77" s="146">
        <v>0.0</v>
      </c>
      <c r="K77" s="166">
        <f t="shared" si="3"/>
        <v>0</v>
      </c>
      <c r="L77" s="181">
        <f t="shared" si="38"/>
        <v>0</v>
      </c>
      <c r="M77" s="94">
        <f t="shared" si="25"/>
        <v>0</v>
      </c>
      <c r="N77" s="94">
        <f t="shared" si="35"/>
        <v>59.04</v>
      </c>
      <c r="O77" s="94">
        <f t="shared" si="36"/>
        <v>96</v>
      </c>
      <c r="P77" s="94">
        <f t="shared" si="37"/>
        <v>36.96</v>
      </c>
      <c r="Q77" s="91"/>
    </row>
    <row r="78" ht="15.75" customHeight="1">
      <c r="A78" s="213" t="s">
        <v>358</v>
      </c>
      <c r="B78" s="214">
        <v>5.0</v>
      </c>
      <c r="C78" s="215">
        <v>12.0</v>
      </c>
      <c r="D78" s="216">
        <f t="shared" si="18"/>
        <v>60</v>
      </c>
      <c r="E78" s="215">
        <v>1.66</v>
      </c>
      <c r="F78" s="215">
        <v>3.0</v>
      </c>
      <c r="G78" s="217" t="str">
        <f t="shared" si="26"/>
        <v>44.6666666666667%</v>
      </c>
      <c r="H78" s="214">
        <v>5.0</v>
      </c>
      <c r="I78" s="218">
        <f t="shared" si="19"/>
        <v>60</v>
      </c>
      <c r="J78" s="214">
        <v>0.0</v>
      </c>
      <c r="K78" s="219">
        <f t="shared" si="3"/>
        <v>0</v>
      </c>
      <c r="L78" s="220">
        <f t="shared" si="38"/>
        <v>0</v>
      </c>
      <c r="M78" s="221">
        <f t="shared" si="25"/>
        <v>0</v>
      </c>
      <c r="N78" s="94">
        <f t="shared" si="35"/>
        <v>99.6</v>
      </c>
      <c r="O78" s="94">
        <f t="shared" si="36"/>
        <v>180</v>
      </c>
      <c r="P78" s="94">
        <f t="shared" si="37"/>
        <v>80.4</v>
      </c>
      <c r="Q78" s="222"/>
    </row>
    <row r="79" ht="15.75" customHeight="1">
      <c r="A79" s="146" t="s">
        <v>360</v>
      </c>
      <c r="B79" s="146">
        <v>1.0</v>
      </c>
      <c r="C79" s="146">
        <v>24.0</v>
      </c>
      <c r="D79" s="191">
        <f t="shared" si="18"/>
        <v>24</v>
      </c>
      <c r="E79" s="146">
        <v>1.95</v>
      </c>
      <c r="F79" s="146">
        <v>3.0</v>
      </c>
      <c r="G79" s="94" t="str">
        <f t="shared" si="26"/>
        <v>35%</v>
      </c>
      <c r="H79" s="146">
        <v>1.0</v>
      </c>
      <c r="I79" s="170">
        <f t="shared" si="19"/>
        <v>24</v>
      </c>
      <c r="J79" s="94"/>
      <c r="K79" s="166">
        <f t="shared" si="3"/>
        <v>0</v>
      </c>
      <c r="L79" s="181">
        <f t="shared" si="38"/>
        <v>0</v>
      </c>
      <c r="M79" s="94">
        <f t="shared" si="25"/>
        <v>0</v>
      </c>
      <c r="N79" s="94">
        <f t="shared" si="35"/>
        <v>46.8</v>
      </c>
      <c r="O79" s="94">
        <f t="shared" si="36"/>
        <v>72</v>
      </c>
      <c r="P79" s="94">
        <f t="shared" si="37"/>
        <v>25.2</v>
      </c>
      <c r="Q79" s="91"/>
    </row>
    <row r="80" ht="15.75" customHeight="1">
      <c r="A80" s="146" t="s">
        <v>364</v>
      </c>
      <c r="B80" s="146">
        <v>1.0</v>
      </c>
      <c r="C80" s="146">
        <v>24.0</v>
      </c>
      <c r="D80" s="191">
        <f t="shared" si="18"/>
        <v>24</v>
      </c>
      <c r="E80" s="146">
        <v>2.83</v>
      </c>
      <c r="F80" s="146">
        <v>4.0</v>
      </c>
      <c r="G80" s="94" t="str">
        <f t="shared" si="26"/>
        <v>29.25%</v>
      </c>
      <c r="H80" s="146">
        <v>1.0</v>
      </c>
      <c r="I80" s="170"/>
      <c r="J80" s="146"/>
      <c r="K80" s="166"/>
      <c r="L80" s="181">
        <f t="shared" si="38"/>
        <v>0</v>
      </c>
      <c r="M80" s="94">
        <f t="shared" si="25"/>
        <v>24</v>
      </c>
      <c r="N80" s="94">
        <f t="shared" si="35"/>
        <v>0</v>
      </c>
      <c r="O80" s="94">
        <f t="shared" si="36"/>
        <v>0</v>
      </c>
      <c r="P80" s="94">
        <f t="shared" si="37"/>
        <v>0</v>
      </c>
      <c r="Q80" s="91"/>
    </row>
    <row r="81" ht="15.75" customHeight="1">
      <c r="A81" s="146" t="s">
        <v>346</v>
      </c>
      <c r="B81" s="146">
        <v>1.0</v>
      </c>
      <c r="C81" s="146">
        <v>24.0</v>
      </c>
      <c r="D81" s="191">
        <f t="shared" si="18"/>
        <v>24</v>
      </c>
      <c r="E81" s="146">
        <v>3.8</v>
      </c>
      <c r="F81" s="146">
        <v>5.0</v>
      </c>
      <c r="G81" s="146" t="str">
        <f t="shared" si="26"/>
        <v>24.%</v>
      </c>
      <c r="H81" s="146">
        <v>1.0</v>
      </c>
      <c r="I81" s="170">
        <f>C81*H81</f>
        <v>24</v>
      </c>
      <c r="J81" s="203">
        <v>0.0</v>
      </c>
      <c r="K81" s="166">
        <f>(C81*J81)</f>
        <v>0</v>
      </c>
      <c r="L81" s="181">
        <f t="shared" si="38"/>
        <v>0</v>
      </c>
      <c r="M81" s="94">
        <f t="shared" si="25"/>
        <v>0</v>
      </c>
      <c r="N81" s="94">
        <f t="shared" si="35"/>
        <v>91.2</v>
      </c>
      <c r="O81" s="94">
        <f t="shared" si="36"/>
        <v>120</v>
      </c>
      <c r="P81" s="94">
        <f t="shared" si="37"/>
        <v>28.8</v>
      </c>
      <c r="Q81" s="91"/>
    </row>
    <row r="82" ht="15.75" customHeight="1">
      <c r="A82" s="146"/>
      <c r="B82" s="146"/>
      <c r="C82" s="146"/>
      <c r="D82" s="191"/>
      <c r="E82" s="146"/>
      <c r="F82" s="146"/>
      <c r="G82" s="94"/>
      <c r="H82" s="146"/>
      <c r="I82" s="170"/>
      <c r="J82" s="146"/>
      <c r="K82" s="166"/>
      <c r="L82" s="181"/>
      <c r="M82" s="94">
        <f t="shared" si="25"/>
        <v>0</v>
      </c>
      <c r="N82" s="94">
        <f t="shared" si="35"/>
        <v>0</v>
      </c>
      <c r="O82" s="94">
        <f t="shared" si="36"/>
        <v>0</v>
      </c>
      <c r="P82" s="94">
        <f t="shared" si="37"/>
        <v>0</v>
      </c>
      <c r="Q82" s="91"/>
    </row>
    <row r="83" ht="15.75" customHeight="1">
      <c r="A83" s="146" t="s">
        <v>365</v>
      </c>
      <c r="B83" s="146">
        <v>8.0</v>
      </c>
      <c r="C83" s="146">
        <v>24.0</v>
      </c>
      <c r="D83" s="191">
        <f t="shared" ref="D83:D198" si="39">B83*C83</f>
        <v>192</v>
      </c>
      <c r="E83" s="146">
        <v>0.6</v>
      </c>
      <c r="F83" s="146">
        <v>1.0</v>
      </c>
      <c r="G83" s="94" t="str">
        <f t="shared" ref="G83:G107" si="40">((F83-E83)/F83)*100 &amp; "%"</f>
        <v>40%</v>
      </c>
      <c r="H83" s="146">
        <v>8.0</v>
      </c>
      <c r="I83" s="170">
        <f t="shared" ref="I83:I217" si="41">C83*H83</f>
        <v>192</v>
      </c>
      <c r="J83" s="146">
        <v>0.0</v>
      </c>
      <c r="K83" s="166">
        <f t="shared" ref="K83:K84" si="42">(C83*J83)</f>
        <v>0</v>
      </c>
      <c r="L83" s="181">
        <f t="shared" ref="L83:L90" si="43">(B83+$J$14)-H83</f>
        <v>0</v>
      </c>
      <c r="M83" s="94">
        <f t="shared" si="25"/>
        <v>0</v>
      </c>
      <c r="N83" s="94">
        <f t="shared" si="35"/>
        <v>115.2</v>
      </c>
      <c r="O83" s="94">
        <f t="shared" si="36"/>
        <v>192</v>
      </c>
      <c r="P83" s="94">
        <f t="shared" si="37"/>
        <v>76.8</v>
      </c>
      <c r="Q83" s="91"/>
    </row>
    <row r="84" ht="15.75" customHeight="1">
      <c r="A84" s="146" t="s">
        <v>357</v>
      </c>
      <c r="B84" s="146">
        <v>8.0</v>
      </c>
      <c r="C84" s="146">
        <v>24.0</v>
      </c>
      <c r="D84" s="191">
        <f t="shared" si="39"/>
        <v>192</v>
      </c>
      <c r="E84" s="146">
        <v>0.45</v>
      </c>
      <c r="F84" s="146">
        <v>1.0</v>
      </c>
      <c r="G84" s="94" t="str">
        <f t="shared" si="40"/>
        <v>55.%</v>
      </c>
      <c r="H84" s="146">
        <v>8.0</v>
      </c>
      <c r="I84" s="170">
        <f t="shared" si="41"/>
        <v>192</v>
      </c>
      <c r="J84" s="146">
        <v>0.0</v>
      </c>
      <c r="K84" s="166">
        <f t="shared" si="42"/>
        <v>0</v>
      </c>
      <c r="L84" s="181">
        <f t="shared" si="43"/>
        <v>0</v>
      </c>
      <c r="M84" s="94">
        <f t="shared" si="25"/>
        <v>0</v>
      </c>
      <c r="N84" s="94">
        <f t="shared" si="35"/>
        <v>86.4</v>
      </c>
      <c r="O84" s="94">
        <f t="shared" si="36"/>
        <v>192</v>
      </c>
      <c r="P84" s="94">
        <f t="shared" si="37"/>
        <v>105.6</v>
      </c>
      <c r="Q84" s="91"/>
    </row>
    <row r="85" ht="15.75" customHeight="1">
      <c r="A85" s="146" t="s">
        <v>366</v>
      </c>
      <c r="B85" s="146">
        <v>8.0</v>
      </c>
      <c r="C85" s="146">
        <v>24.0</v>
      </c>
      <c r="D85" s="191">
        <f t="shared" si="39"/>
        <v>192</v>
      </c>
      <c r="E85" s="146">
        <v>0.66</v>
      </c>
      <c r="F85" s="146">
        <v>1.0</v>
      </c>
      <c r="G85" s="94" t="str">
        <f t="shared" si="40"/>
        <v>34%</v>
      </c>
      <c r="H85" s="146">
        <v>8.0</v>
      </c>
      <c r="I85" s="170">
        <f t="shared" si="41"/>
        <v>192</v>
      </c>
      <c r="J85" s="146">
        <v>0.0</v>
      </c>
      <c r="K85" s="166"/>
      <c r="L85" s="181">
        <f t="shared" si="43"/>
        <v>0</v>
      </c>
      <c r="M85" s="94">
        <f t="shared" si="25"/>
        <v>0</v>
      </c>
      <c r="N85" s="94">
        <f t="shared" si="35"/>
        <v>126.72</v>
      </c>
      <c r="O85" s="94">
        <f t="shared" si="36"/>
        <v>192</v>
      </c>
      <c r="P85" s="94">
        <f t="shared" si="37"/>
        <v>65.28</v>
      </c>
      <c r="Q85" s="91"/>
    </row>
    <row r="86" ht="15.75" customHeight="1">
      <c r="A86" s="146" t="s">
        <v>354</v>
      </c>
      <c r="B86" s="146">
        <v>1.0</v>
      </c>
      <c r="C86" s="146">
        <v>24.0</v>
      </c>
      <c r="D86" s="191">
        <f t="shared" si="39"/>
        <v>24</v>
      </c>
      <c r="E86" s="146">
        <v>3.7</v>
      </c>
      <c r="F86" s="146">
        <v>5.0</v>
      </c>
      <c r="G86" s="94" t="str">
        <f t="shared" si="40"/>
        <v>26.%</v>
      </c>
      <c r="H86" s="146">
        <v>1.0</v>
      </c>
      <c r="I86" s="170">
        <f t="shared" si="41"/>
        <v>24</v>
      </c>
      <c r="J86" s="94"/>
      <c r="K86" s="166">
        <f t="shared" ref="K86:K108" si="44">(C86*J86)</f>
        <v>0</v>
      </c>
      <c r="L86" s="181">
        <f t="shared" si="43"/>
        <v>0</v>
      </c>
      <c r="M86" s="94">
        <f t="shared" si="25"/>
        <v>0</v>
      </c>
      <c r="N86" s="94">
        <f t="shared" si="35"/>
        <v>88.8</v>
      </c>
      <c r="O86" s="94">
        <f t="shared" si="36"/>
        <v>120</v>
      </c>
      <c r="P86" s="94">
        <f t="shared" si="37"/>
        <v>31.2</v>
      </c>
      <c r="Q86" s="91"/>
    </row>
    <row r="87" ht="15.75" customHeight="1">
      <c r="A87" s="146" t="s">
        <v>367</v>
      </c>
      <c r="B87" s="146">
        <v>1.0</v>
      </c>
      <c r="C87" s="146">
        <v>12.0</v>
      </c>
      <c r="D87" s="191">
        <f t="shared" si="39"/>
        <v>12</v>
      </c>
      <c r="E87" s="146">
        <v>9.5</v>
      </c>
      <c r="F87" s="146">
        <v>12.0</v>
      </c>
      <c r="G87" s="94" t="str">
        <f t="shared" si="40"/>
        <v>20.8333333333333%</v>
      </c>
      <c r="H87" s="146"/>
      <c r="I87" s="170">
        <f t="shared" si="41"/>
        <v>0</v>
      </c>
      <c r="J87" s="94"/>
      <c r="K87" s="166">
        <f t="shared" si="44"/>
        <v>0</v>
      </c>
      <c r="L87" s="181">
        <f t="shared" si="43"/>
        <v>1</v>
      </c>
      <c r="M87" s="94">
        <f t="shared" si="25"/>
        <v>12</v>
      </c>
      <c r="N87" s="94">
        <f t="shared" si="35"/>
        <v>0</v>
      </c>
      <c r="O87" s="94">
        <f t="shared" si="36"/>
        <v>0</v>
      </c>
      <c r="P87" s="94">
        <f t="shared" si="37"/>
        <v>0</v>
      </c>
      <c r="Q87" s="91"/>
    </row>
    <row r="88" ht="15.75" customHeight="1">
      <c r="A88" s="146" t="s">
        <v>368</v>
      </c>
      <c r="B88" s="146">
        <v>1.0</v>
      </c>
      <c r="C88" s="146">
        <v>12.0</v>
      </c>
      <c r="D88" s="191">
        <f t="shared" si="39"/>
        <v>12</v>
      </c>
      <c r="E88" s="146">
        <v>4.75</v>
      </c>
      <c r="F88" s="146">
        <v>6.0</v>
      </c>
      <c r="G88" s="94" t="str">
        <f t="shared" si="40"/>
        <v>20.8333333333333%</v>
      </c>
      <c r="H88" s="146"/>
      <c r="I88" s="170">
        <f t="shared" si="41"/>
        <v>0</v>
      </c>
      <c r="J88" s="94"/>
      <c r="K88" s="166">
        <f t="shared" si="44"/>
        <v>0</v>
      </c>
      <c r="L88" s="181">
        <f t="shared" si="43"/>
        <v>1</v>
      </c>
      <c r="M88" s="94">
        <f t="shared" si="25"/>
        <v>12</v>
      </c>
      <c r="N88" s="94">
        <f t="shared" si="35"/>
        <v>0</v>
      </c>
      <c r="O88" s="94">
        <f t="shared" si="36"/>
        <v>0</v>
      </c>
      <c r="P88" s="94">
        <f t="shared" si="37"/>
        <v>0</v>
      </c>
      <c r="Q88" s="91"/>
    </row>
    <row r="89" ht="15.75" customHeight="1">
      <c r="A89" s="146"/>
      <c r="B89" s="146"/>
      <c r="C89" s="146"/>
      <c r="D89" s="191">
        <f t="shared" si="39"/>
        <v>0</v>
      </c>
      <c r="E89" s="146"/>
      <c r="F89" s="146"/>
      <c r="G89" s="94" t="str">
        <f t="shared" si="40"/>
        <v>#DIV/0!</v>
      </c>
      <c r="H89" s="146"/>
      <c r="I89" s="170">
        <f t="shared" si="41"/>
        <v>0</v>
      </c>
      <c r="J89" s="94"/>
      <c r="K89" s="166">
        <f t="shared" si="44"/>
        <v>0</v>
      </c>
      <c r="L89" s="181">
        <f t="shared" si="43"/>
        <v>0</v>
      </c>
      <c r="M89" s="94">
        <f t="shared" si="25"/>
        <v>0</v>
      </c>
      <c r="N89" s="94">
        <f t="shared" si="35"/>
        <v>0</v>
      </c>
      <c r="O89" s="94">
        <f t="shared" si="36"/>
        <v>0</v>
      </c>
      <c r="P89" s="94">
        <f t="shared" si="37"/>
        <v>0</v>
      </c>
      <c r="Q89" s="91"/>
    </row>
    <row r="90" ht="15.75" customHeight="1">
      <c r="A90" s="11" t="s">
        <v>369</v>
      </c>
      <c r="B90" s="11"/>
      <c r="C90" s="11"/>
      <c r="D90" s="191">
        <f t="shared" si="39"/>
        <v>0</v>
      </c>
      <c r="E90" s="159"/>
      <c r="F90" s="159"/>
      <c r="G90" s="159" t="str">
        <f t="shared" si="40"/>
        <v>#DIV/0!</v>
      </c>
      <c r="H90" s="159"/>
      <c r="I90" s="170">
        <f t="shared" si="41"/>
        <v>0</v>
      </c>
      <c r="J90" s="159"/>
      <c r="K90" s="166">
        <f t="shared" si="44"/>
        <v>0</v>
      </c>
      <c r="L90" s="181">
        <f t="shared" si="43"/>
        <v>0</v>
      </c>
      <c r="M90" s="159">
        <f t="shared" si="25"/>
        <v>0</v>
      </c>
      <c r="N90" s="159">
        <f t="shared" ref="N90:P90" si="45">SUM(N75:N86)
</f>
        <v>1263.84</v>
      </c>
      <c r="O90" s="159">
        <f t="shared" si="45"/>
        <v>2172</v>
      </c>
      <c r="P90" s="159">
        <f t="shared" si="45"/>
        <v>908.16</v>
      </c>
      <c r="Q90" s="212"/>
    </row>
    <row r="91" ht="15.75" customHeight="1">
      <c r="A91" s="223" t="s">
        <v>336</v>
      </c>
      <c r="B91" s="224">
        <v>20.0</v>
      </c>
      <c r="C91" s="225">
        <v>12.0</v>
      </c>
      <c r="D91" s="226">
        <f t="shared" si="39"/>
        <v>240</v>
      </c>
      <c r="E91" s="227">
        <v>0.33</v>
      </c>
      <c r="F91" s="227">
        <v>1.0</v>
      </c>
      <c r="G91" s="228" t="str">
        <f t="shared" si="40"/>
        <v>67%</v>
      </c>
      <c r="H91" s="227"/>
      <c r="I91" s="229">
        <f t="shared" si="41"/>
        <v>0</v>
      </c>
      <c r="J91" s="227">
        <v>0.0</v>
      </c>
      <c r="K91" s="230">
        <f t="shared" si="44"/>
        <v>0</v>
      </c>
      <c r="L91" s="220">
        <f>(B91+$J$75)-H91</f>
        <v>20</v>
      </c>
      <c r="M91" s="227">
        <f t="shared" si="25"/>
        <v>240</v>
      </c>
      <c r="N91" s="227">
        <f t="shared" ref="N91:N107" si="46">(D91 + K91 - M91) * E91</f>
        <v>0</v>
      </c>
      <c r="O91" s="227">
        <f t="shared" ref="O91:O107" si="47">I91*F91</f>
        <v>0</v>
      </c>
      <c r="P91" s="227">
        <f t="shared" ref="P91:P107" si="48">O91-N91</f>
        <v>0</v>
      </c>
      <c r="Q91" s="231"/>
    </row>
    <row r="92" ht="15.75" customHeight="1">
      <c r="A92" s="213" t="s">
        <v>355</v>
      </c>
      <c r="B92" s="214">
        <v>3.0</v>
      </c>
      <c r="C92" s="215">
        <v>24.0</v>
      </c>
      <c r="D92" s="216">
        <f t="shared" si="39"/>
        <v>72</v>
      </c>
      <c r="E92" s="215">
        <v>2.83</v>
      </c>
      <c r="F92" s="215">
        <v>4.0</v>
      </c>
      <c r="G92" s="217" t="str">
        <f t="shared" si="40"/>
        <v>29.25%</v>
      </c>
      <c r="H92" s="221"/>
      <c r="I92" s="218">
        <f t="shared" si="41"/>
        <v>0</v>
      </c>
      <c r="J92" s="214">
        <v>0.0</v>
      </c>
      <c r="K92" s="219">
        <f t="shared" si="44"/>
        <v>0</v>
      </c>
      <c r="L92" s="220">
        <f t="shared" ref="L92:L157" si="49">(B92+$J$14)-H92</f>
        <v>3</v>
      </c>
      <c r="M92" s="221">
        <f t="shared" si="25"/>
        <v>72</v>
      </c>
      <c r="N92" s="221">
        <f t="shared" si="46"/>
        <v>0</v>
      </c>
      <c r="O92" s="221">
        <f t="shared" si="47"/>
        <v>0</v>
      </c>
      <c r="P92" s="221">
        <f t="shared" si="48"/>
        <v>0</v>
      </c>
      <c r="Q92" s="222"/>
    </row>
    <row r="93" ht="15.75" customHeight="1">
      <c r="A93" s="232" t="s">
        <v>370</v>
      </c>
      <c r="B93" s="214">
        <v>9.0</v>
      </c>
      <c r="C93" s="215">
        <v>24.0</v>
      </c>
      <c r="D93" s="216">
        <f t="shared" si="39"/>
        <v>216</v>
      </c>
      <c r="E93" s="214">
        <v>3.0</v>
      </c>
      <c r="F93" s="215">
        <v>4.0</v>
      </c>
      <c r="G93" s="217" t="str">
        <f t="shared" si="40"/>
        <v>25%</v>
      </c>
      <c r="H93" s="221"/>
      <c r="I93" s="218">
        <f t="shared" si="41"/>
        <v>0</v>
      </c>
      <c r="J93" s="214">
        <v>0.0</v>
      </c>
      <c r="K93" s="219">
        <f t="shared" si="44"/>
        <v>0</v>
      </c>
      <c r="L93" s="220">
        <f t="shared" si="49"/>
        <v>9</v>
      </c>
      <c r="M93" s="221">
        <f t="shared" si="25"/>
        <v>216</v>
      </c>
      <c r="N93" s="221">
        <f t="shared" si="46"/>
        <v>0</v>
      </c>
      <c r="O93" s="221">
        <f t="shared" si="47"/>
        <v>0</v>
      </c>
      <c r="P93" s="221">
        <f t="shared" si="48"/>
        <v>0</v>
      </c>
      <c r="Q93" s="222"/>
    </row>
    <row r="94" ht="15.75" customHeight="1">
      <c r="A94" s="146" t="s">
        <v>360</v>
      </c>
      <c r="B94" s="146">
        <v>2.0</v>
      </c>
      <c r="C94" s="146">
        <v>24.0</v>
      </c>
      <c r="D94" s="191">
        <f t="shared" si="39"/>
        <v>48</v>
      </c>
      <c r="E94" s="146">
        <v>2.08</v>
      </c>
      <c r="F94" s="146">
        <v>3.0</v>
      </c>
      <c r="G94" s="94" t="str">
        <f t="shared" si="40"/>
        <v>30.6666666666667%</v>
      </c>
      <c r="H94" s="94"/>
      <c r="I94" s="170">
        <f t="shared" si="41"/>
        <v>0</v>
      </c>
      <c r="J94" s="146">
        <v>0.0</v>
      </c>
      <c r="K94" s="166">
        <f t="shared" si="44"/>
        <v>0</v>
      </c>
      <c r="L94" s="181">
        <f t="shared" si="49"/>
        <v>2</v>
      </c>
      <c r="M94" s="94">
        <f t="shared" si="25"/>
        <v>48</v>
      </c>
      <c r="N94" s="94">
        <f t="shared" si="46"/>
        <v>0</v>
      </c>
      <c r="O94" s="94">
        <f t="shared" si="47"/>
        <v>0</v>
      </c>
      <c r="P94" s="94">
        <f t="shared" si="48"/>
        <v>0</v>
      </c>
      <c r="Q94" s="91"/>
    </row>
    <row r="95" ht="15.75" customHeight="1">
      <c r="A95" s="146" t="s">
        <v>360</v>
      </c>
      <c r="B95" s="146">
        <v>1.0</v>
      </c>
      <c r="C95" s="146">
        <v>24.0</v>
      </c>
      <c r="D95" s="191">
        <f t="shared" si="39"/>
        <v>24</v>
      </c>
      <c r="E95" s="146">
        <v>1.91</v>
      </c>
      <c r="F95" s="146">
        <v>3.0</v>
      </c>
      <c r="G95" s="94" t="str">
        <f t="shared" si="40"/>
        <v>36.3333333333333%</v>
      </c>
      <c r="H95" s="94"/>
      <c r="I95" s="170">
        <f t="shared" si="41"/>
        <v>0</v>
      </c>
      <c r="J95" s="146">
        <v>0.0</v>
      </c>
      <c r="K95" s="166">
        <f t="shared" si="44"/>
        <v>0</v>
      </c>
      <c r="L95" s="181">
        <f t="shared" si="49"/>
        <v>1</v>
      </c>
      <c r="M95" s="94">
        <f t="shared" si="25"/>
        <v>24</v>
      </c>
      <c r="N95" s="94">
        <f t="shared" si="46"/>
        <v>0</v>
      </c>
      <c r="O95" s="94">
        <f t="shared" si="47"/>
        <v>0</v>
      </c>
      <c r="P95" s="94">
        <f t="shared" si="48"/>
        <v>0</v>
      </c>
      <c r="Q95" s="91"/>
    </row>
    <row r="96" ht="15.75" customHeight="1">
      <c r="A96" s="146" t="s">
        <v>350</v>
      </c>
      <c r="B96" s="146">
        <v>5.0</v>
      </c>
      <c r="C96" s="146">
        <v>24.0</v>
      </c>
      <c r="D96" s="191">
        <f t="shared" si="39"/>
        <v>120</v>
      </c>
      <c r="E96" s="146">
        <v>1.23</v>
      </c>
      <c r="F96" s="146">
        <v>2.0</v>
      </c>
      <c r="G96" s="94" t="str">
        <f t="shared" si="40"/>
        <v>38.5%</v>
      </c>
      <c r="H96" s="146"/>
      <c r="I96" s="170">
        <f t="shared" si="41"/>
        <v>0</v>
      </c>
      <c r="J96" s="146">
        <v>0.0</v>
      </c>
      <c r="K96" s="166">
        <f t="shared" si="44"/>
        <v>0</v>
      </c>
      <c r="L96" s="181">
        <f t="shared" si="49"/>
        <v>5</v>
      </c>
      <c r="M96" s="94">
        <f t="shared" si="25"/>
        <v>120</v>
      </c>
      <c r="N96" s="94">
        <f t="shared" si="46"/>
        <v>0</v>
      </c>
      <c r="O96" s="94">
        <f t="shared" si="47"/>
        <v>0</v>
      </c>
      <c r="P96" s="94">
        <f t="shared" si="48"/>
        <v>0</v>
      </c>
      <c r="Q96" s="91"/>
    </row>
    <row r="97" ht="15.75" customHeight="1">
      <c r="A97" s="213" t="s">
        <v>358</v>
      </c>
      <c r="B97" s="214">
        <v>3.0</v>
      </c>
      <c r="C97" s="215">
        <v>12.0</v>
      </c>
      <c r="D97" s="216">
        <f t="shared" si="39"/>
        <v>36</v>
      </c>
      <c r="E97" s="215">
        <v>1.66</v>
      </c>
      <c r="F97" s="215">
        <v>3.0</v>
      </c>
      <c r="G97" s="217" t="str">
        <f t="shared" si="40"/>
        <v>44.6666666666667%</v>
      </c>
      <c r="H97" s="221"/>
      <c r="I97" s="218">
        <f t="shared" si="41"/>
        <v>0</v>
      </c>
      <c r="J97" s="214">
        <v>0.0</v>
      </c>
      <c r="K97" s="219">
        <f t="shared" si="44"/>
        <v>0</v>
      </c>
      <c r="L97" s="220">
        <f t="shared" si="49"/>
        <v>3</v>
      </c>
      <c r="M97" s="221">
        <f t="shared" si="25"/>
        <v>36</v>
      </c>
      <c r="N97" s="94">
        <f t="shared" si="46"/>
        <v>0</v>
      </c>
      <c r="O97" s="94">
        <f t="shared" si="47"/>
        <v>0</v>
      </c>
      <c r="P97" s="94">
        <f t="shared" si="48"/>
        <v>0</v>
      </c>
      <c r="Q97" s="222"/>
    </row>
    <row r="98" ht="15.75" customHeight="1">
      <c r="A98" s="233" t="s">
        <v>341</v>
      </c>
      <c r="B98" s="234">
        <v>12.0</v>
      </c>
      <c r="C98" s="234">
        <v>24.0</v>
      </c>
      <c r="D98" s="235">
        <f t="shared" si="39"/>
        <v>288</v>
      </c>
      <c r="E98" s="234">
        <v>0.62</v>
      </c>
      <c r="F98" s="234">
        <v>1.0</v>
      </c>
      <c r="G98" s="236" t="str">
        <f t="shared" si="40"/>
        <v>38%</v>
      </c>
      <c r="H98" s="237"/>
      <c r="I98" s="235">
        <f t="shared" si="41"/>
        <v>0</v>
      </c>
      <c r="J98" s="234">
        <v>0.0</v>
      </c>
      <c r="K98" s="219">
        <f t="shared" si="44"/>
        <v>0</v>
      </c>
      <c r="L98" s="238">
        <f t="shared" si="49"/>
        <v>12</v>
      </c>
      <c r="M98" s="237">
        <f t="shared" si="25"/>
        <v>288</v>
      </c>
      <c r="N98" s="94">
        <f t="shared" si="46"/>
        <v>0</v>
      </c>
      <c r="O98" s="94">
        <f t="shared" si="47"/>
        <v>0</v>
      </c>
      <c r="P98" s="94">
        <f t="shared" si="48"/>
        <v>0</v>
      </c>
      <c r="Q98" s="239"/>
    </row>
    <row r="99" ht="15.75" customHeight="1">
      <c r="A99" s="233" t="s">
        <v>371</v>
      </c>
      <c r="B99" s="234">
        <v>7.0</v>
      </c>
      <c r="C99" s="234">
        <v>24.0</v>
      </c>
      <c r="D99" s="235">
        <f t="shared" si="39"/>
        <v>168</v>
      </c>
      <c r="E99" s="234">
        <v>0.66</v>
      </c>
      <c r="F99" s="234">
        <v>1.0</v>
      </c>
      <c r="G99" s="236" t="str">
        <f t="shared" si="40"/>
        <v>34%</v>
      </c>
      <c r="H99" s="237"/>
      <c r="I99" s="235">
        <f t="shared" si="41"/>
        <v>0</v>
      </c>
      <c r="J99" s="234">
        <v>0.0</v>
      </c>
      <c r="K99" s="219">
        <f t="shared" si="44"/>
        <v>0</v>
      </c>
      <c r="L99" s="238">
        <f t="shared" si="49"/>
        <v>7</v>
      </c>
      <c r="M99" s="237">
        <f t="shared" si="25"/>
        <v>168</v>
      </c>
      <c r="N99" s="94">
        <f t="shared" si="46"/>
        <v>0</v>
      </c>
      <c r="O99" s="94">
        <f t="shared" si="47"/>
        <v>0</v>
      </c>
      <c r="P99" s="94">
        <f t="shared" si="48"/>
        <v>0</v>
      </c>
      <c r="Q99" s="239"/>
    </row>
    <row r="100" ht="15.75" customHeight="1">
      <c r="A100" s="146" t="s">
        <v>357</v>
      </c>
      <c r="B100" s="146">
        <v>5.0</v>
      </c>
      <c r="C100" s="146">
        <v>24.0</v>
      </c>
      <c r="D100" s="191">
        <f t="shared" si="39"/>
        <v>120</v>
      </c>
      <c r="E100" s="146">
        <v>0.45</v>
      </c>
      <c r="F100" s="146">
        <v>1.0</v>
      </c>
      <c r="G100" s="94" t="str">
        <f t="shared" si="40"/>
        <v>55.%</v>
      </c>
      <c r="H100" s="146"/>
      <c r="I100" s="170">
        <f t="shared" si="41"/>
        <v>0</v>
      </c>
      <c r="J100" s="146">
        <v>0.0</v>
      </c>
      <c r="K100" s="166">
        <f t="shared" si="44"/>
        <v>0</v>
      </c>
      <c r="L100" s="181">
        <f t="shared" si="49"/>
        <v>5</v>
      </c>
      <c r="M100" s="94">
        <f t="shared" si="25"/>
        <v>120</v>
      </c>
      <c r="N100" s="94">
        <f t="shared" si="46"/>
        <v>0</v>
      </c>
      <c r="O100" s="94">
        <f t="shared" si="47"/>
        <v>0</v>
      </c>
      <c r="P100" s="94">
        <f t="shared" si="48"/>
        <v>0</v>
      </c>
      <c r="Q100" s="91"/>
    </row>
    <row r="101" ht="15.75" customHeight="1">
      <c r="A101" s="146" t="s">
        <v>372</v>
      </c>
      <c r="B101" s="146">
        <v>3.0</v>
      </c>
      <c r="C101" s="146">
        <v>8.0</v>
      </c>
      <c r="D101" s="191">
        <f t="shared" si="39"/>
        <v>24</v>
      </c>
      <c r="E101" s="146">
        <v>1.75</v>
      </c>
      <c r="F101" s="146">
        <v>3.0</v>
      </c>
      <c r="G101" s="94" t="str">
        <f t="shared" si="40"/>
        <v>41.6666666666667%</v>
      </c>
      <c r="H101" s="146"/>
      <c r="I101" s="170">
        <f t="shared" si="41"/>
        <v>0</v>
      </c>
      <c r="J101" s="146"/>
      <c r="K101" s="166">
        <f t="shared" si="44"/>
        <v>0</v>
      </c>
      <c r="L101" s="181">
        <f t="shared" si="49"/>
        <v>3</v>
      </c>
      <c r="M101" s="94">
        <f t="shared" si="25"/>
        <v>24</v>
      </c>
      <c r="N101" s="94">
        <f t="shared" si="46"/>
        <v>0</v>
      </c>
      <c r="O101" s="94">
        <f t="shared" si="47"/>
        <v>0</v>
      </c>
      <c r="P101" s="94">
        <f t="shared" si="48"/>
        <v>0</v>
      </c>
      <c r="Q101" s="91"/>
    </row>
    <row r="102" ht="15.75" customHeight="1">
      <c r="A102" s="146" t="s">
        <v>337</v>
      </c>
      <c r="B102" s="146">
        <v>1.0</v>
      </c>
      <c r="C102" s="146">
        <v>24.0</v>
      </c>
      <c r="D102" s="170">
        <f t="shared" si="39"/>
        <v>24</v>
      </c>
      <c r="E102" s="146">
        <v>3.7</v>
      </c>
      <c r="F102" s="146">
        <v>5.0</v>
      </c>
      <c r="G102" s="146" t="str">
        <f t="shared" si="40"/>
        <v>26.%</v>
      </c>
      <c r="H102" s="146"/>
      <c r="I102" s="170">
        <f t="shared" si="41"/>
        <v>0</v>
      </c>
      <c r="J102" s="203">
        <v>0.0</v>
      </c>
      <c r="K102" s="166">
        <f t="shared" si="44"/>
        <v>0</v>
      </c>
      <c r="L102" s="181">
        <f t="shared" si="49"/>
        <v>1</v>
      </c>
      <c r="M102" s="94">
        <f t="shared" si="25"/>
        <v>24</v>
      </c>
      <c r="N102" s="94">
        <f t="shared" si="46"/>
        <v>0</v>
      </c>
      <c r="O102" s="94">
        <f t="shared" si="47"/>
        <v>0</v>
      </c>
      <c r="P102" s="94">
        <f t="shared" si="48"/>
        <v>0</v>
      </c>
      <c r="Q102" s="91"/>
    </row>
    <row r="103" ht="15.75" customHeight="1">
      <c r="A103" s="146" t="s">
        <v>337</v>
      </c>
      <c r="B103" s="146">
        <v>1.0</v>
      </c>
      <c r="C103" s="146">
        <v>24.0</v>
      </c>
      <c r="D103" s="170">
        <f t="shared" si="39"/>
        <v>24</v>
      </c>
      <c r="E103" s="146">
        <v>3.5</v>
      </c>
      <c r="F103" s="146">
        <v>5.0</v>
      </c>
      <c r="G103" s="146" t="str">
        <f t="shared" si="40"/>
        <v>30%</v>
      </c>
      <c r="H103" s="146"/>
      <c r="I103" s="170">
        <f t="shared" si="41"/>
        <v>0</v>
      </c>
      <c r="J103" s="203">
        <v>0.0</v>
      </c>
      <c r="K103" s="166">
        <f t="shared" si="44"/>
        <v>0</v>
      </c>
      <c r="L103" s="181">
        <f t="shared" si="49"/>
        <v>1</v>
      </c>
      <c r="M103" s="94">
        <f t="shared" si="25"/>
        <v>24</v>
      </c>
      <c r="N103" s="94">
        <f t="shared" si="46"/>
        <v>0</v>
      </c>
      <c r="O103" s="94">
        <f t="shared" si="47"/>
        <v>0</v>
      </c>
      <c r="P103" s="94">
        <f t="shared" si="48"/>
        <v>0</v>
      </c>
      <c r="Q103" s="91"/>
    </row>
    <row r="104" ht="15.75" customHeight="1">
      <c r="A104" s="146" t="s">
        <v>373</v>
      </c>
      <c r="B104" s="146">
        <v>2.0</v>
      </c>
      <c r="C104" s="146">
        <v>24.0</v>
      </c>
      <c r="D104" s="146">
        <f t="shared" si="39"/>
        <v>48</v>
      </c>
      <c r="E104" s="146">
        <v>2.3</v>
      </c>
      <c r="F104" s="146">
        <v>4.0</v>
      </c>
      <c r="G104" s="146" t="str">
        <f t="shared" si="40"/>
        <v>42.5%</v>
      </c>
      <c r="H104" s="146"/>
      <c r="I104" s="146">
        <f t="shared" si="41"/>
        <v>0</v>
      </c>
      <c r="J104" s="146">
        <v>0.0</v>
      </c>
      <c r="K104" s="166">
        <f t="shared" si="44"/>
        <v>0</v>
      </c>
      <c r="L104" s="240">
        <f t="shared" si="49"/>
        <v>2</v>
      </c>
      <c r="M104" s="94">
        <f t="shared" si="25"/>
        <v>48</v>
      </c>
      <c r="N104" s="94">
        <f t="shared" si="46"/>
        <v>0</v>
      </c>
      <c r="O104" s="94">
        <f t="shared" si="47"/>
        <v>0</v>
      </c>
      <c r="P104" s="94">
        <f t="shared" si="48"/>
        <v>0</v>
      </c>
      <c r="Q104" s="91"/>
    </row>
    <row r="105" ht="15.75" customHeight="1">
      <c r="A105" s="146" t="s">
        <v>364</v>
      </c>
      <c r="B105" s="146">
        <v>1.0</v>
      </c>
      <c r="C105" s="146">
        <v>24.0</v>
      </c>
      <c r="D105" s="146">
        <f t="shared" si="39"/>
        <v>24</v>
      </c>
      <c r="E105" s="146">
        <v>2.83</v>
      </c>
      <c r="F105" s="146">
        <v>4.0</v>
      </c>
      <c r="G105" s="146" t="str">
        <f t="shared" si="40"/>
        <v>29.25%</v>
      </c>
      <c r="H105" s="146"/>
      <c r="I105" s="146">
        <f t="shared" si="41"/>
        <v>0</v>
      </c>
      <c r="J105" s="146"/>
      <c r="K105" s="166">
        <f t="shared" si="44"/>
        <v>0</v>
      </c>
      <c r="L105" s="240">
        <f t="shared" si="49"/>
        <v>1</v>
      </c>
      <c r="M105" s="94">
        <f t="shared" si="25"/>
        <v>24</v>
      </c>
      <c r="N105" s="94">
        <f t="shared" si="46"/>
        <v>0</v>
      </c>
      <c r="O105" s="94">
        <f t="shared" si="47"/>
        <v>0</v>
      </c>
      <c r="P105" s="94">
        <f t="shared" si="48"/>
        <v>0</v>
      </c>
      <c r="Q105" s="91"/>
    </row>
    <row r="106" ht="15.75" customHeight="1">
      <c r="A106" s="146" t="s">
        <v>374</v>
      </c>
      <c r="B106" s="146">
        <v>3.0</v>
      </c>
      <c r="C106" s="146">
        <v>12.0</v>
      </c>
      <c r="D106" s="146">
        <f t="shared" si="39"/>
        <v>36</v>
      </c>
      <c r="E106" s="146">
        <v>4.75</v>
      </c>
      <c r="F106" s="146">
        <v>7.0</v>
      </c>
      <c r="G106" s="146" t="str">
        <f t="shared" si="40"/>
        <v>32.1428571428571%</v>
      </c>
      <c r="H106" s="146"/>
      <c r="I106" s="146">
        <f t="shared" si="41"/>
        <v>0</v>
      </c>
      <c r="J106" s="146">
        <v>0.0</v>
      </c>
      <c r="K106" s="166">
        <f t="shared" si="44"/>
        <v>0</v>
      </c>
      <c r="L106" s="240">
        <f t="shared" si="49"/>
        <v>3</v>
      </c>
      <c r="M106" s="94">
        <f t="shared" si="25"/>
        <v>36</v>
      </c>
      <c r="N106" s="94">
        <f t="shared" si="46"/>
        <v>0</v>
      </c>
      <c r="O106" s="94">
        <f t="shared" si="47"/>
        <v>0</v>
      </c>
      <c r="P106" s="94">
        <f t="shared" si="48"/>
        <v>0</v>
      </c>
      <c r="Q106" s="91"/>
    </row>
    <row r="107" ht="15.75" customHeight="1">
      <c r="A107" s="146"/>
      <c r="B107" s="146"/>
      <c r="C107" s="146"/>
      <c r="D107" s="146">
        <f t="shared" si="39"/>
        <v>0</v>
      </c>
      <c r="E107" s="146"/>
      <c r="F107" s="146"/>
      <c r="G107" s="146" t="str">
        <f t="shared" si="40"/>
        <v>#DIV/0!</v>
      </c>
      <c r="H107" s="146"/>
      <c r="I107" s="146">
        <f t="shared" si="41"/>
        <v>0</v>
      </c>
      <c r="J107" s="146"/>
      <c r="K107" s="166">
        <f t="shared" si="44"/>
        <v>0</v>
      </c>
      <c r="L107" s="240">
        <f t="shared" si="49"/>
        <v>0</v>
      </c>
      <c r="M107" s="94">
        <f t="shared" si="25"/>
        <v>0</v>
      </c>
      <c r="N107" s="94">
        <f t="shared" si="46"/>
        <v>0</v>
      </c>
      <c r="O107" s="94">
        <f t="shared" si="47"/>
        <v>0</v>
      </c>
      <c r="P107" s="94">
        <f t="shared" si="48"/>
        <v>0</v>
      </c>
      <c r="Q107" s="91"/>
    </row>
    <row r="108" ht="15.75" customHeight="1">
      <c r="A108" s="208" t="s">
        <v>375</v>
      </c>
      <c r="B108" s="208"/>
      <c r="C108" s="208"/>
      <c r="D108" s="208">
        <f t="shared" si="39"/>
        <v>0</v>
      </c>
      <c r="E108" s="208"/>
      <c r="F108" s="208"/>
      <c r="G108" s="208"/>
      <c r="H108" s="208"/>
      <c r="I108" s="208">
        <f t="shared" si="41"/>
        <v>0</v>
      </c>
      <c r="J108" s="208"/>
      <c r="K108" s="166">
        <f t="shared" si="44"/>
        <v>0</v>
      </c>
      <c r="L108" s="209">
        <f t="shared" si="49"/>
        <v>0</v>
      </c>
      <c r="M108" s="210">
        <f t="shared" si="25"/>
        <v>0</v>
      </c>
      <c r="N108" s="184">
        <f t="shared" ref="N108:P108" si="50">SUM(N57+N74+N90)
</f>
        <v>3929.72</v>
      </c>
      <c r="O108" s="184">
        <f t="shared" si="50"/>
        <v>6627</v>
      </c>
      <c r="P108" s="184">
        <f t="shared" si="50"/>
        <v>2965.6</v>
      </c>
      <c r="Q108" s="211"/>
    </row>
    <row r="109" ht="15.75" customHeight="1">
      <c r="A109" s="146"/>
      <c r="B109" s="146"/>
      <c r="C109" s="146"/>
      <c r="D109" s="191">
        <f t="shared" si="39"/>
        <v>0</v>
      </c>
      <c r="E109" s="146"/>
      <c r="F109" s="146"/>
      <c r="G109" s="94" t="str">
        <f t="shared" ref="G109:G217" si="51">((F109-E109)/F109)*100 &amp; "%"</f>
        <v>#DIV/0!</v>
      </c>
      <c r="H109" s="146"/>
      <c r="I109" s="170">
        <f t="shared" si="41"/>
        <v>0</v>
      </c>
      <c r="J109" s="146"/>
      <c r="K109" s="146"/>
      <c r="L109" s="181">
        <f t="shared" si="49"/>
        <v>0</v>
      </c>
      <c r="M109" s="94">
        <f t="shared" si="25"/>
        <v>0</v>
      </c>
      <c r="N109" s="94"/>
      <c r="O109" s="94"/>
      <c r="P109" s="94"/>
      <c r="Q109" s="91"/>
    </row>
    <row r="110" ht="15.75" customHeight="1">
      <c r="A110" s="146"/>
      <c r="B110" s="146"/>
      <c r="C110" s="146"/>
      <c r="D110" s="191">
        <f t="shared" si="39"/>
        <v>0</v>
      </c>
      <c r="E110" s="146"/>
      <c r="F110" s="146"/>
      <c r="G110" s="146" t="str">
        <f t="shared" si="51"/>
        <v>#DIV/0!</v>
      </c>
      <c r="H110" s="146"/>
      <c r="I110" s="170">
        <f t="shared" si="41"/>
        <v>0</v>
      </c>
      <c r="J110" s="146"/>
      <c r="K110" s="146"/>
      <c r="L110" s="181">
        <f t="shared" si="49"/>
        <v>0</v>
      </c>
      <c r="M110" s="94">
        <f t="shared" si="25"/>
        <v>0</v>
      </c>
      <c r="N110" s="94"/>
      <c r="O110" s="94"/>
      <c r="P110" s="94"/>
      <c r="Q110" s="91"/>
    </row>
    <row r="111" ht="15.75" customHeight="1">
      <c r="A111" s="146"/>
      <c r="B111" s="146"/>
      <c r="C111" s="146"/>
      <c r="D111" s="191">
        <f t="shared" si="39"/>
        <v>0</v>
      </c>
      <c r="E111" s="146"/>
      <c r="F111" s="146"/>
      <c r="G111" s="146" t="str">
        <f t="shared" si="51"/>
        <v>#DIV/0!</v>
      </c>
      <c r="H111" s="146"/>
      <c r="I111" s="170">
        <f t="shared" si="41"/>
        <v>0</v>
      </c>
      <c r="J111" s="146"/>
      <c r="K111" s="146"/>
      <c r="L111" s="181">
        <f t="shared" si="49"/>
        <v>0</v>
      </c>
      <c r="M111" s="94">
        <f t="shared" si="25"/>
        <v>0</v>
      </c>
      <c r="N111" s="94"/>
      <c r="O111" s="94"/>
      <c r="P111" s="94"/>
      <c r="Q111" s="91"/>
    </row>
    <row r="112" ht="15.75" customHeight="1">
      <c r="A112" s="146"/>
      <c r="B112" s="146"/>
      <c r="C112" s="146"/>
      <c r="D112" s="191">
        <f t="shared" si="39"/>
        <v>0</v>
      </c>
      <c r="E112" s="146"/>
      <c r="F112" s="146"/>
      <c r="G112" s="146" t="str">
        <f t="shared" si="51"/>
        <v>#DIV/0!</v>
      </c>
      <c r="H112" s="146"/>
      <c r="I112" s="170">
        <f t="shared" si="41"/>
        <v>0</v>
      </c>
      <c r="J112" s="146"/>
      <c r="K112" s="146"/>
      <c r="L112" s="181">
        <f t="shared" si="49"/>
        <v>0</v>
      </c>
      <c r="M112" s="94">
        <f t="shared" si="25"/>
        <v>0</v>
      </c>
      <c r="N112" s="94"/>
      <c r="O112" s="94"/>
      <c r="P112" s="94"/>
      <c r="Q112" s="91"/>
    </row>
    <row r="113" ht="15.75" customHeight="1">
      <c r="A113" s="146"/>
      <c r="B113" s="146"/>
      <c r="C113" s="146"/>
      <c r="D113" s="191">
        <f t="shared" si="39"/>
        <v>0</v>
      </c>
      <c r="E113" s="146"/>
      <c r="F113" s="146"/>
      <c r="G113" s="146" t="str">
        <f t="shared" si="51"/>
        <v>#DIV/0!</v>
      </c>
      <c r="H113" s="146"/>
      <c r="I113" s="170">
        <f t="shared" si="41"/>
        <v>0</v>
      </c>
      <c r="J113" s="146"/>
      <c r="K113" s="146"/>
      <c r="L113" s="181">
        <f t="shared" si="49"/>
        <v>0</v>
      </c>
      <c r="M113" s="94">
        <f t="shared" si="25"/>
        <v>0</v>
      </c>
      <c r="N113" s="94"/>
      <c r="O113" s="94"/>
      <c r="P113" s="94"/>
      <c r="Q113" s="91"/>
    </row>
    <row r="114" ht="15.75" customHeight="1">
      <c r="A114" s="146"/>
      <c r="B114" s="146"/>
      <c r="C114" s="146"/>
      <c r="D114" s="191">
        <f t="shared" si="39"/>
        <v>0</v>
      </c>
      <c r="E114" s="146"/>
      <c r="F114" s="146"/>
      <c r="G114" s="146" t="str">
        <f t="shared" si="51"/>
        <v>#DIV/0!</v>
      </c>
      <c r="H114" s="146"/>
      <c r="I114" s="170">
        <f t="shared" si="41"/>
        <v>0</v>
      </c>
      <c r="J114" s="146"/>
      <c r="K114" s="146"/>
      <c r="L114" s="181">
        <f t="shared" si="49"/>
        <v>0</v>
      </c>
      <c r="M114" s="94">
        <f t="shared" si="25"/>
        <v>0</v>
      </c>
      <c r="N114" s="94"/>
      <c r="O114" s="94"/>
      <c r="P114" s="94"/>
      <c r="Q114" s="91"/>
    </row>
    <row r="115" ht="15.75" customHeight="1">
      <c r="A115" s="146"/>
      <c r="B115" s="146"/>
      <c r="C115" s="146"/>
      <c r="D115" s="191">
        <f t="shared" si="39"/>
        <v>0</v>
      </c>
      <c r="E115" s="146"/>
      <c r="F115" s="146"/>
      <c r="G115" s="146" t="str">
        <f t="shared" si="51"/>
        <v>#DIV/0!</v>
      </c>
      <c r="H115" s="146"/>
      <c r="I115" s="170">
        <f t="shared" si="41"/>
        <v>0</v>
      </c>
      <c r="J115" s="146"/>
      <c r="K115" s="146"/>
      <c r="L115" s="181">
        <f t="shared" si="49"/>
        <v>0</v>
      </c>
      <c r="M115" s="94">
        <f t="shared" si="25"/>
        <v>0</v>
      </c>
      <c r="N115" s="94"/>
      <c r="O115" s="94"/>
      <c r="P115" s="94"/>
      <c r="Q115" s="91"/>
    </row>
    <row r="116" ht="15.75" customHeight="1">
      <c r="A116" s="146"/>
      <c r="B116" s="146"/>
      <c r="C116" s="146"/>
      <c r="D116" s="191">
        <f t="shared" si="39"/>
        <v>0</v>
      </c>
      <c r="E116" s="146"/>
      <c r="F116" s="146"/>
      <c r="G116" s="146" t="str">
        <f t="shared" si="51"/>
        <v>#DIV/0!</v>
      </c>
      <c r="H116" s="146"/>
      <c r="I116" s="170">
        <f t="shared" si="41"/>
        <v>0</v>
      </c>
      <c r="J116" s="146"/>
      <c r="K116" s="146"/>
      <c r="L116" s="181">
        <f t="shared" si="49"/>
        <v>0</v>
      </c>
      <c r="M116" s="94">
        <f t="shared" si="25"/>
        <v>0</v>
      </c>
      <c r="N116" s="94"/>
      <c r="O116" s="94"/>
      <c r="P116" s="94"/>
      <c r="Q116" s="91"/>
    </row>
    <row r="117" ht="15.75" customHeight="1">
      <c r="A117" s="146"/>
      <c r="B117" s="146"/>
      <c r="C117" s="146"/>
      <c r="D117" s="191">
        <f t="shared" si="39"/>
        <v>0</v>
      </c>
      <c r="E117" s="146"/>
      <c r="F117" s="146"/>
      <c r="G117" s="146" t="str">
        <f t="shared" si="51"/>
        <v>#DIV/0!</v>
      </c>
      <c r="H117" s="146"/>
      <c r="I117" s="170">
        <f t="shared" si="41"/>
        <v>0</v>
      </c>
      <c r="J117" s="146"/>
      <c r="K117" s="146"/>
      <c r="L117" s="181">
        <f t="shared" si="49"/>
        <v>0</v>
      </c>
      <c r="M117" s="94">
        <f t="shared" si="25"/>
        <v>0</v>
      </c>
      <c r="N117" s="94"/>
      <c r="O117" s="94"/>
      <c r="P117" s="94"/>
      <c r="Q117" s="91"/>
    </row>
    <row r="118" ht="15.75" customHeight="1">
      <c r="A118" s="146"/>
      <c r="B118" s="146"/>
      <c r="C118" s="146"/>
      <c r="D118" s="191">
        <f t="shared" si="39"/>
        <v>0</v>
      </c>
      <c r="E118" s="146"/>
      <c r="F118" s="146"/>
      <c r="G118" s="146" t="str">
        <f t="shared" si="51"/>
        <v>#DIV/0!</v>
      </c>
      <c r="H118" s="146"/>
      <c r="I118" s="170">
        <f t="shared" si="41"/>
        <v>0</v>
      </c>
      <c r="J118" s="146"/>
      <c r="K118" s="146"/>
      <c r="L118" s="181">
        <f t="shared" si="49"/>
        <v>0</v>
      </c>
      <c r="M118" s="94">
        <f t="shared" si="25"/>
        <v>0</v>
      </c>
      <c r="N118" s="94"/>
      <c r="O118" s="94"/>
      <c r="P118" s="94"/>
      <c r="Q118" s="91"/>
    </row>
    <row r="119" ht="15.75" customHeight="1">
      <c r="A119" s="146"/>
      <c r="B119" s="146"/>
      <c r="C119" s="146"/>
      <c r="D119" s="191">
        <f t="shared" si="39"/>
        <v>0</v>
      </c>
      <c r="E119" s="146"/>
      <c r="F119" s="146"/>
      <c r="G119" s="146" t="str">
        <f t="shared" si="51"/>
        <v>#DIV/0!</v>
      </c>
      <c r="H119" s="146"/>
      <c r="I119" s="170">
        <f t="shared" si="41"/>
        <v>0</v>
      </c>
      <c r="J119" s="146"/>
      <c r="K119" s="146"/>
      <c r="L119" s="181">
        <f t="shared" si="49"/>
        <v>0</v>
      </c>
      <c r="M119" s="94">
        <f t="shared" si="25"/>
        <v>0</v>
      </c>
      <c r="N119" s="94"/>
      <c r="O119" s="94"/>
      <c r="P119" s="94"/>
      <c r="Q119" s="91"/>
    </row>
    <row r="120" ht="15.75" customHeight="1">
      <c r="A120" s="146"/>
      <c r="B120" s="146"/>
      <c r="C120" s="146"/>
      <c r="D120" s="191">
        <f t="shared" si="39"/>
        <v>0</v>
      </c>
      <c r="E120" s="146"/>
      <c r="F120" s="146"/>
      <c r="G120" s="146" t="str">
        <f t="shared" si="51"/>
        <v>#DIV/0!</v>
      </c>
      <c r="H120" s="146"/>
      <c r="I120" s="170">
        <f t="shared" si="41"/>
        <v>0</v>
      </c>
      <c r="J120" s="146"/>
      <c r="K120" s="146"/>
      <c r="L120" s="181">
        <f t="shared" si="49"/>
        <v>0</v>
      </c>
      <c r="M120" s="94">
        <f t="shared" si="25"/>
        <v>0</v>
      </c>
      <c r="N120" s="94"/>
      <c r="O120" s="94"/>
      <c r="P120" s="94"/>
      <c r="Q120" s="91"/>
    </row>
    <row r="121" ht="15.75" customHeight="1">
      <c r="A121" s="146"/>
      <c r="B121" s="146"/>
      <c r="C121" s="146"/>
      <c r="D121" s="191">
        <f t="shared" si="39"/>
        <v>0</v>
      </c>
      <c r="E121" s="146"/>
      <c r="F121" s="146"/>
      <c r="G121" s="146" t="str">
        <f t="shared" si="51"/>
        <v>#DIV/0!</v>
      </c>
      <c r="H121" s="146"/>
      <c r="I121" s="170">
        <f t="shared" si="41"/>
        <v>0</v>
      </c>
      <c r="J121" s="146"/>
      <c r="K121" s="146"/>
      <c r="L121" s="181">
        <f t="shared" si="49"/>
        <v>0</v>
      </c>
      <c r="M121" s="94">
        <f t="shared" si="25"/>
        <v>0</v>
      </c>
      <c r="N121" s="94"/>
      <c r="O121" s="94"/>
      <c r="P121" s="94"/>
      <c r="Q121" s="91"/>
    </row>
    <row r="122" ht="15.75" customHeight="1">
      <c r="A122" s="146"/>
      <c r="B122" s="146"/>
      <c r="C122" s="146"/>
      <c r="D122" s="191">
        <f t="shared" si="39"/>
        <v>0</v>
      </c>
      <c r="E122" s="146"/>
      <c r="F122" s="146"/>
      <c r="G122" s="146" t="str">
        <f t="shared" si="51"/>
        <v>#DIV/0!</v>
      </c>
      <c r="H122" s="146"/>
      <c r="I122" s="170">
        <f t="shared" si="41"/>
        <v>0</v>
      </c>
      <c r="J122" s="146"/>
      <c r="K122" s="146"/>
      <c r="L122" s="181">
        <f t="shared" si="49"/>
        <v>0</v>
      </c>
      <c r="M122" s="94">
        <f t="shared" si="25"/>
        <v>0</v>
      </c>
      <c r="N122" s="94"/>
      <c r="O122" s="94"/>
      <c r="P122" s="94"/>
      <c r="Q122" s="91"/>
    </row>
    <row r="123" ht="15.75" customHeight="1">
      <c r="A123" s="146"/>
      <c r="B123" s="146"/>
      <c r="C123" s="146"/>
      <c r="D123" s="191">
        <f t="shared" si="39"/>
        <v>0</v>
      </c>
      <c r="E123" s="146"/>
      <c r="F123" s="146"/>
      <c r="G123" s="146" t="str">
        <f t="shared" si="51"/>
        <v>#DIV/0!</v>
      </c>
      <c r="H123" s="146"/>
      <c r="I123" s="170">
        <f t="shared" si="41"/>
        <v>0</v>
      </c>
      <c r="J123" s="146"/>
      <c r="K123" s="146"/>
      <c r="L123" s="181">
        <f t="shared" si="49"/>
        <v>0</v>
      </c>
      <c r="M123" s="94">
        <f t="shared" si="25"/>
        <v>0</v>
      </c>
      <c r="N123" s="94"/>
      <c r="O123" s="94"/>
      <c r="P123" s="94"/>
      <c r="Q123" s="91"/>
    </row>
    <row r="124" ht="15.75" customHeight="1">
      <c r="A124" s="146"/>
      <c r="B124" s="146"/>
      <c r="C124" s="146"/>
      <c r="D124" s="191">
        <f t="shared" si="39"/>
        <v>0</v>
      </c>
      <c r="E124" s="146"/>
      <c r="F124" s="146"/>
      <c r="G124" s="146" t="str">
        <f t="shared" si="51"/>
        <v>#DIV/0!</v>
      </c>
      <c r="H124" s="146"/>
      <c r="I124" s="170">
        <f t="shared" si="41"/>
        <v>0</v>
      </c>
      <c r="J124" s="146"/>
      <c r="K124" s="146"/>
      <c r="L124" s="181">
        <f t="shared" si="49"/>
        <v>0</v>
      </c>
      <c r="M124" s="94">
        <f t="shared" si="25"/>
        <v>0</v>
      </c>
      <c r="N124" s="94"/>
      <c r="O124" s="94"/>
      <c r="P124" s="94"/>
      <c r="Q124" s="91"/>
    </row>
    <row r="125" ht="15.75" customHeight="1">
      <c r="A125" s="146"/>
      <c r="B125" s="146"/>
      <c r="C125" s="146"/>
      <c r="D125" s="191">
        <f t="shared" si="39"/>
        <v>0</v>
      </c>
      <c r="E125" s="146"/>
      <c r="F125" s="146"/>
      <c r="G125" s="146" t="str">
        <f t="shared" si="51"/>
        <v>#DIV/0!</v>
      </c>
      <c r="H125" s="146"/>
      <c r="I125" s="170">
        <f t="shared" si="41"/>
        <v>0</v>
      </c>
      <c r="J125" s="146"/>
      <c r="K125" s="146"/>
      <c r="L125" s="181">
        <f t="shared" si="49"/>
        <v>0</v>
      </c>
      <c r="M125" s="94">
        <f t="shared" si="25"/>
        <v>0</v>
      </c>
      <c r="N125" s="94"/>
      <c r="O125" s="94"/>
      <c r="P125" s="94"/>
      <c r="Q125" s="91"/>
    </row>
    <row r="126" ht="15.75" customHeight="1">
      <c r="A126" s="146"/>
      <c r="B126" s="146"/>
      <c r="C126" s="146"/>
      <c r="D126" s="191">
        <f t="shared" si="39"/>
        <v>0</v>
      </c>
      <c r="E126" s="146"/>
      <c r="F126" s="146"/>
      <c r="G126" s="146" t="str">
        <f t="shared" si="51"/>
        <v>#DIV/0!</v>
      </c>
      <c r="H126" s="146"/>
      <c r="I126" s="170">
        <f t="shared" si="41"/>
        <v>0</v>
      </c>
      <c r="J126" s="146"/>
      <c r="K126" s="146"/>
      <c r="L126" s="181">
        <f t="shared" si="49"/>
        <v>0</v>
      </c>
      <c r="M126" s="94">
        <f t="shared" si="25"/>
        <v>0</v>
      </c>
      <c r="N126" s="94"/>
      <c r="O126" s="94"/>
      <c r="P126" s="94"/>
      <c r="Q126" s="91"/>
    </row>
    <row r="127" ht="15.75" customHeight="1">
      <c r="A127" s="146"/>
      <c r="B127" s="146"/>
      <c r="C127" s="146"/>
      <c r="D127" s="191">
        <f t="shared" si="39"/>
        <v>0</v>
      </c>
      <c r="E127" s="146"/>
      <c r="F127" s="146"/>
      <c r="G127" s="146" t="str">
        <f t="shared" si="51"/>
        <v>#DIV/0!</v>
      </c>
      <c r="H127" s="146"/>
      <c r="I127" s="170">
        <f t="shared" si="41"/>
        <v>0</v>
      </c>
      <c r="J127" s="146"/>
      <c r="K127" s="146"/>
      <c r="L127" s="181">
        <f t="shared" si="49"/>
        <v>0</v>
      </c>
      <c r="M127" s="94">
        <f t="shared" si="25"/>
        <v>0</v>
      </c>
      <c r="N127" s="94"/>
      <c r="O127" s="94"/>
      <c r="P127" s="94"/>
      <c r="Q127" s="91"/>
    </row>
    <row r="128" ht="15.75" customHeight="1">
      <c r="A128" s="146"/>
      <c r="B128" s="146"/>
      <c r="C128" s="146"/>
      <c r="D128" s="191">
        <f t="shared" si="39"/>
        <v>0</v>
      </c>
      <c r="E128" s="146"/>
      <c r="F128" s="146"/>
      <c r="G128" s="146" t="str">
        <f t="shared" si="51"/>
        <v>#DIV/0!</v>
      </c>
      <c r="H128" s="146"/>
      <c r="I128" s="170">
        <f t="shared" si="41"/>
        <v>0</v>
      </c>
      <c r="J128" s="146"/>
      <c r="K128" s="146"/>
      <c r="L128" s="181">
        <f t="shared" si="49"/>
        <v>0</v>
      </c>
      <c r="M128" s="94">
        <f t="shared" si="25"/>
        <v>0</v>
      </c>
      <c r="N128" s="94"/>
      <c r="O128" s="94"/>
      <c r="P128" s="94"/>
      <c r="Q128" s="91"/>
    </row>
    <row r="129" ht="15.75" customHeight="1">
      <c r="A129" s="146"/>
      <c r="B129" s="146"/>
      <c r="C129" s="146"/>
      <c r="D129" s="191">
        <f t="shared" si="39"/>
        <v>0</v>
      </c>
      <c r="E129" s="146"/>
      <c r="F129" s="146"/>
      <c r="G129" s="146" t="str">
        <f t="shared" si="51"/>
        <v>#DIV/0!</v>
      </c>
      <c r="H129" s="146"/>
      <c r="I129" s="170">
        <f t="shared" si="41"/>
        <v>0</v>
      </c>
      <c r="J129" s="146"/>
      <c r="K129" s="146"/>
      <c r="L129" s="181">
        <f t="shared" si="49"/>
        <v>0</v>
      </c>
      <c r="M129" s="94">
        <f t="shared" si="25"/>
        <v>0</v>
      </c>
      <c r="N129" s="94"/>
      <c r="O129" s="94"/>
      <c r="P129" s="94"/>
      <c r="Q129" s="91"/>
    </row>
    <row r="130" ht="15.75" customHeight="1">
      <c r="A130" s="146"/>
      <c r="B130" s="146"/>
      <c r="C130" s="146"/>
      <c r="D130" s="191">
        <f t="shared" si="39"/>
        <v>0</v>
      </c>
      <c r="E130" s="146"/>
      <c r="F130" s="146"/>
      <c r="G130" s="146" t="str">
        <f t="shared" si="51"/>
        <v>#DIV/0!</v>
      </c>
      <c r="H130" s="146"/>
      <c r="I130" s="170">
        <f t="shared" si="41"/>
        <v>0</v>
      </c>
      <c r="J130" s="146"/>
      <c r="K130" s="146"/>
      <c r="L130" s="181">
        <f t="shared" si="49"/>
        <v>0</v>
      </c>
      <c r="M130" s="94">
        <f t="shared" si="25"/>
        <v>0</v>
      </c>
      <c r="N130" s="94"/>
      <c r="O130" s="94"/>
      <c r="P130" s="94"/>
      <c r="Q130" s="91"/>
    </row>
    <row r="131" ht="15.75" customHeight="1">
      <c r="A131" s="146"/>
      <c r="B131" s="146"/>
      <c r="C131" s="146"/>
      <c r="D131" s="191">
        <f t="shared" si="39"/>
        <v>0</v>
      </c>
      <c r="E131" s="146"/>
      <c r="F131" s="146"/>
      <c r="G131" s="146" t="str">
        <f t="shared" si="51"/>
        <v>#DIV/0!</v>
      </c>
      <c r="H131" s="146"/>
      <c r="I131" s="170">
        <f t="shared" si="41"/>
        <v>0</v>
      </c>
      <c r="J131" s="146"/>
      <c r="K131" s="146"/>
      <c r="L131" s="181">
        <f t="shared" si="49"/>
        <v>0</v>
      </c>
      <c r="M131" s="94">
        <f t="shared" si="25"/>
        <v>0</v>
      </c>
      <c r="N131" s="94"/>
      <c r="O131" s="94"/>
      <c r="P131" s="94"/>
      <c r="Q131" s="91"/>
    </row>
    <row r="132" ht="15.75" customHeight="1">
      <c r="A132" s="146"/>
      <c r="B132" s="146"/>
      <c r="C132" s="146"/>
      <c r="D132" s="191">
        <f t="shared" si="39"/>
        <v>0</v>
      </c>
      <c r="E132" s="146"/>
      <c r="F132" s="146"/>
      <c r="G132" s="146" t="str">
        <f t="shared" si="51"/>
        <v>#DIV/0!</v>
      </c>
      <c r="H132" s="146"/>
      <c r="I132" s="170">
        <f t="shared" si="41"/>
        <v>0</v>
      </c>
      <c r="J132" s="146"/>
      <c r="K132" s="146"/>
      <c r="L132" s="181">
        <f t="shared" si="49"/>
        <v>0</v>
      </c>
      <c r="M132" s="94">
        <f t="shared" si="25"/>
        <v>0</v>
      </c>
      <c r="N132" s="94"/>
      <c r="O132" s="94"/>
      <c r="P132" s="94"/>
      <c r="Q132" s="91"/>
    </row>
    <row r="133" ht="15.75" customHeight="1">
      <c r="A133" s="146"/>
      <c r="B133" s="146"/>
      <c r="C133" s="146"/>
      <c r="D133" s="191">
        <f t="shared" si="39"/>
        <v>0</v>
      </c>
      <c r="E133" s="146"/>
      <c r="F133" s="146"/>
      <c r="G133" s="146" t="str">
        <f t="shared" si="51"/>
        <v>#DIV/0!</v>
      </c>
      <c r="H133" s="146"/>
      <c r="I133" s="170">
        <f t="shared" si="41"/>
        <v>0</v>
      </c>
      <c r="J133" s="146"/>
      <c r="K133" s="146"/>
      <c r="L133" s="181">
        <f t="shared" si="49"/>
        <v>0</v>
      </c>
      <c r="M133" s="94">
        <f t="shared" si="25"/>
        <v>0</v>
      </c>
      <c r="N133" s="94"/>
      <c r="O133" s="94"/>
      <c r="P133" s="94"/>
      <c r="Q133" s="91"/>
    </row>
    <row r="134" ht="15.75" customHeight="1">
      <c r="A134" s="146"/>
      <c r="B134" s="146"/>
      <c r="C134" s="146"/>
      <c r="D134" s="191">
        <f t="shared" si="39"/>
        <v>0</v>
      </c>
      <c r="E134" s="146"/>
      <c r="F134" s="146"/>
      <c r="G134" s="146" t="str">
        <f t="shared" si="51"/>
        <v>#DIV/0!</v>
      </c>
      <c r="H134" s="146"/>
      <c r="I134" s="170">
        <f t="shared" si="41"/>
        <v>0</v>
      </c>
      <c r="J134" s="146"/>
      <c r="K134" s="146"/>
      <c r="L134" s="181">
        <f t="shared" si="49"/>
        <v>0</v>
      </c>
      <c r="M134" s="94">
        <f t="shared" si="25"/>
        <v>0</v>
      </c>
      <c r="N134" s="94"/>
      <c r="O134" s="94"/>
      <c r="P134" s="94"/>
      <c r="Q134" s="91"/>
    </row>
    <row r="135" ht="15.75" customHeight="1">
      <c r="A135" s="146"/>
      <c r="B135" s="146"/>
      <c r="C135" s="146"/>
      <c r="D135" s="191">
        <f t="shared" si="39"/>
        <v>0</v>
      </c>
      <c r="E135" s="146"/>
      <c r="F135" s="146"/>
      <c r="G135" s="146" t="str">
        <f t="shared" si="51"/>
        <v>#DIV/0!</v>
      </c>
      <c r="H135" s="146"/>
      <c r="I135" s="170">
        <f t="shared" si="41"/>
        <v>0</v>
      </c>
      <c r="J135" s="146"/>
      <c r="K135" s="146"/>
      <c r="L135" s="181">
        <f t="shared" si="49"/>
        <v>0</v>
      </c>
      <c r="M135" s="94">
        <f t="shared" si="25"/>
        <v>0</v>
      </c>
      <c r="N135" s="94"/>
      <c r="O135" s="94"/>
      <c r="P135" s="94"/>
      <c r="Q135" s="91"/>
    </row>
    <row r="136" ht="15.75" customHeight="1">
      <c r="A136" s="146"/>
      <c r="B136" s="146"/>
      <c r="C136" s="146"/>
      <c r="D136" s="191">
        <f t="shared" si="39"/>
        <v>0</v>
      </c>
      <c r="E136" s="146"/>
      <c r="F136" s="146"/>
      <c r="G136" s="146" t="str">
        <f t="shared" si="51"/>
        <v>#DIV/0!</v>
      </c>
      <c r="H136" s="146"/>
      <c r="I136" s="170">
        <f t="shared" si="41"/>
        <v>0</v>
      </c>
      <c r="J136" s="146"/>
      <c r="K136" s="146"/>
      <c r="L136" s="181">
        <f t="shared" si="49"/>
        <v>0</v>
      </c>
      <c r="M136" s="94">
        <f t="shared" si="25"/>
        <v>0</v>
      </c>
      <c r="N136" s="94"/>
      <c r="O136" s="94"/>
      <c r="P136" s="94"/>
      <c r="Q136" s="91"/>
    </row>
    <row r="137" ht="15.75" customHeight="1">
      <c r="A137" s="146"/>
      <c r="B137" s="146"/>
      <c r="C137" s="146"/>
      <c r="D137" s="191">
        <f t="shared" si="39"/>
        <v>0</v>
      </c>
      <c r="E137" s="146"/>
      <c r="F137" s="146"/>
      <c r="G137" s="146" t="str">
        <f t="shared" si="51"/>
        <v>#DIV/0!</v>
      </c>
      <c r="H137" s="146"/>
      <c r="I137" s="170">
        <f t="shared" si="41"/>
        <v>0</v>
      </c>
      <c r="J137" s="146"/>
      <c r="K137" s="146"/>
      <c r="L137" s="181">
        <f t="shared" si="49"/>
        <v>0</v>
      </c>
      <c r="M137" s="94">
        <f t="shared" si="25"/>
        <v>0</v>
      </c>
      <c r="N137" s="94"/>
      <c r="O137" s="94"/>
      <c r="P137" s="94"/>
      <c r="Q137" s="91"/>
    </row>
    <row r="138" ht="15.75" customHeight="1">
      <c r="A138" s="146"/>
      <c r="B138" s="146"/>
      <c r="C138" s="146"/>
      <c r="D138" s="191">
        <f t="shared" si="39"/>
        <v>0</v>
      </c>
      <c r="E138" s="146"/>
      <c r="F138" s="146"/>
      <c r="G138" s="146" t="str">
        <f t="shared" si="51"/>
        <v>#DIV/0!</v>
      </c>
      <c r="H138" s="146"/>
      <c r="I138" s="170">
        <f t="shared" si="41"/>
        <v>0</v>
      </c>
      <c r="J138" s="146"/>
      <c r="K138" s="146"/>
      <c r="L138" s="181">
        <f t="shared" si="49"/>
        <v>0</v>
      </c>
      <c r="M138" s="94">
        <f t="shared" si="25"/>
        <v>0</v>
      </c>
      <c r="N138" s="94"/>
      <c r="O138" s="94"/>
      <c r="P138" s="94"/>
      <c r="Q138" s="91"/>
    </row>
    <row r="139" ht="15.75" customHeight="1">
      <c r="A139" s="146"/>
      <c r="B139" s="146"/>
      <c r="C139" s="146"/>
      <c r="D139" s="191">
        <f t="shared" si="39"/>
        <v>0</v>
      </c>
      <c r="E139" s="146"/>
      <c r="F139" s="146"/>
      <c r="G139" s="146" t="str">
        <f t="shared" si="51"/>
        <v>#DIV/0!</v>
      </c>
      <c r="H139" s="146"/>
      <c r="I139" s="170">
        <f t="shared" si="41"/>
        <v>0</v>
      </c>
      <c r="J139" s="146"/>
      <c r="K139" s="146"/>
      <c r="L139" s="181">
        <f t="shared" si="49"/>
        <v>0</v>
      </c>
      <c r="M139" s="94">
        <f t="shared" si="25"/>
        <v>0</v>
      </c>
      <c r="N139" s="94"/>
      <c r="O139" s="94"/>
      <c r="P139" s="94"/>
      <c r="Q139" s="91"/>
    </row>
    <row r="140" ht="15.75" customHeight="1">
      <c r="A140" s="146"/>
      <c r="B140" s="146"/>
      <c r="C140" s="146"/>
      <c r="D140" s="191">
        <f t="shared" si="39"/>
        <v>0</v>
      </c>
      <c r="E140" s="146"/>
      <c r="F140" s="146"/>
      <c r="G140" s="146" t="str">
        <f t="shared" si="51"/>
        <v>#DIV/0!</v>
      </c>
      <c r="H140" s="146"/>
      <c r="I140" s="170">
        <f t="shared" si="41"/>
        <v>0</v>
      </c>
      <c r="J140" s="146"/>
      <c r="K140" s="146"/>
      <c r="L140" s="181">
        <f t="shared" si="49"/>
        <v>0</v>
      </c>
      <c r="M140" s="94">
        <f t="shared" si="25"/>
        <v>0</v>
      </c>
      <c r="N140" s="94"/>
      <c r="O140" s="94"/>
      <c r="P140" s="94"/>
      <c r="Q140" s="91"/>
    </row>
    <row r="141" ht="15.75" customHeight="1">
      <c r="A141" s="146"/>
      <c r="B141" s="146"/>
      <c r="C141" s="146"/>
      <c r="D141" s="191">
        <f t="shared" si="39"/>
        <v>0</v>
      </c>
      <c r="E141" s="146"/>
      <c r="F141" s="146"/>
      <c r="G141" s="146" t="str">
        <f t="shared" si="51"/>
        <v>#DIV/0!</v>
      </c>
      <c r="H141" s="146"/>
      <c r="I141" s="170">
        <f t="shared" si="41"/>
        <v>0</v>
      </c>
      <c r="J141" s="146"/>
      <c r="K141" s="146"/>
      <c r="L141" s="181">
        <f t="shared" si="49"/>
        <v>0</v>
      </c>
      <c r="M141" s="94">
        <f t="shared" si="25"/>
        <v>0</v>
      </c>
      <c r="N141" s="94"/>
      <c r="O141" s="94"/>
      <c r="P141" s="94"/>
      <c r="Q141" s="91"/>
    </row>
    <row r="142" ht="15.75" customHeight="1">
      <c r="A142" s="146"/>
      <c r="B142" s="146"/>
      <c r="C142" s="146"/>
      <c r="D142" s="191">
        <f t="shared" si="39"/>
        <v>0</v>
      </c>
      <c r="E142" s="146"/>
      <c r="F142" s="146"/>
      <c r="G142" s="146" t="str">
        <f t="shared" si="51"/>
        <v>#DIV/0!</v>
      </c>
      <c r="H142" s="146"/>
      <c r="I142" s="170">
        <f t="shared" si="41"/>
        <v>0</v>
      </c>
      <c r="J142" s="146"/>
      <c r="K142" s="146"/>
      <c r="L142" s="181">
        <f t="shared" si="49"/>
        <v>0</v>
      </c>
      <c r="M142" s="94">
        <f t="shared" si="25"/>
        <v>0</v>
      </c>
      <c r="N142" s="94"/>
      <c r="O142" s="94"/>
      <c r="P142" s="94"/>
      <c r="Q142" s="91"/>
    </row>
    <row r="143" ht="15.75" customHeight="1">
      <c r="A143" s="146"/>
      <c r="B143" s="146"/>
      <c r="C143" s="146"/>
      <c r="D143" s="191">
        <f t="shared" si="39"/>
        <v>0</v>
      </c>
      <c r="E143" s="146"/>
      <c r="F143" s="146"/>
      <c r="G143" s="146" t="str">
        <f t="shared" si="51"/>
        <v>#DIV/0!</v>
      </c>
      <c r="H143" s="146"/>
      <c r="I143" s="170">
        <f t="shared" si="41"/>
        <v>0</v>
      </c>
      <c r="J143" s="146"/>
      <c r="K143" s="146"/>
      <c r="L143" s="181">
        <f t="shared" si="49"/>
        <v>0</v>
      </c>
      <c r="M143" s="94">
        <f t="shared" si="25"/>
        <v>0</v>
      </c>
      <c r="N143" s="94"/>
      <c r="O143" s="94"/>
      <c r="P143" s="94"/>
      <c r="Q143" s="91"/>
    </row>
    <row r="144" ht="15.75" customHeight="1">
      <c r="A144" s="146"/>
      <c r="B144" s="146"/>
      <c r="C144" s="146"/>
      <c r="D144" s="191">
        <f t="shared" si="39"/>
        <v>0</v>
      </c>
      <c r="E144" s="146"/>
      <c r="F144" s="146"/>
      <c r="G144" s="146" t="str">
        <f t="shared" si="51"/>
        <v>#DIV/0!</v>
      </c>
      <c r="H144" s="146"/>
      <c r="I144" s="170">
        <f t="shared" si="41"/>
        <v>0</v>
      </c>
      <c r="J144" s="146"/>
      <c r="K144" s="146"/>
      <c r="L144" s="181">
        <f t="shared" si="49"/>
        <v>0</v>
      </c>
      <c r="M144" s="94">
        <f t="shared" si="25"/>
        <v>0</v>
      </c>
      <c r="N144" s="94"/>
      <c r="O144" s="94"/>
      <c r="P144" s="94"/>
      <c r="Q144" s="91"/>
    </row>
    <row r="145" ht="15.75" customHeight="1">
      <c r="A145" s="146"/>
      <c r="B145" s="146"/>
      <c r="C145" s="146"/>
      <c r="D145" s="191">
        <f t="shared" si="39"/>
        <v>0</v>
      </c>
      <c r="E145" s="146"/>
      <c r="F145" s="146"/>
      <c r="G145" s="146" t="str">
        <f t="shared" si="51"/>
        <v>#DIV/0!</v>
      </c>
      <c r="H145" s="146"/>
      <c r="I145" s="170">
        <f t="shared" si="41"/>
        <v>0</v>
      </c>
      <c r="J145" s="146"/>
      <c r="K145" s="146"/>
      <c r="L145" s="181">
        <f t="shared" si="49"/>
        <v>0</v>
      </c>
      <c r="M145" s="94">
        <f t="shared" si="25"/>
        <v>0</v>
      </c>
      <c r="N145" s="94"/>
      <c r="O145" s="94"/>
      <c r="P145" s="94"/>
      <c r="Q145" s="91"/>
    </row>
    <row r="146" ht="15.75" customHeight="1">
      <c r="A146" s="146"/>
      <c r="B146" s="146"/>
      <c r="C146" s="146"/>
      <c r="D146" s="191">
        <f t="shared" si="39"/>
        <v>0</v>
      </c>
      <c r="E146" s="146"/>
      <c r="F146" s="146"/>
      <c r="G146" s="146" t="str">
        <f t="shared" si="51"/>
        <v>#DIV/0!</v>
      </c>
      <c r="H146" s="146"/>
      <c r="I146" s="170">
        <f t="shared" si="41"/>
        <v>0</v>
      </c>
      <c r="J146" s="146"/>
      <c r="K146" s="146"/>
      <c r="L146" s="181">
        <f t="shared" si="49"/>
        <v>0</v>
      </c>
      <c r="M146" s="94">
        <f t="shared" si="25"/>
        <v>0</v>
      </c>
      <c r="N146" s="94"/>
      <c r="O146" s="94"/>
      <c r="P146" s="94"/>
      <c r="Q146" s="91"/>
    </row>
    <row r="147" ht="15.75" customHeight="1">
      <c r="A147" s="146"/>
      <c r="B147" s="146"/>
      <c r="C147" s="146"/>
      <c r="D147" s="191">
        <f t="shared" si="39"/>
        <v>0</v>
      </c>
      <c r="E147" s="146"/>
      <c r="F147" s="146"/>
      <c r="G147" s="146" t="str">
        <f t="shared" si="51"/>
        <v>#DIV/0!</v>
      </c>
      <c r="H147" s="146"/>
      <c r="I147" s="170">
        <f t="shared" si="41"/>
        <v>0</v>
      </c>
      <c r="J147" s="146"/>
      <c r="K147" s="146"/>
      <c r="L147" s="181">
        <f t="shared" si="49"/>
        <v>0</v>
      </c>
      <c r="M147" s="94">
        <f t="shared" si="25"/>
        <v>0</v>
      </c>
      <c r="N147" s="94"/>
      <c r="O147" s="94"/>
      <c r="P147" s="94"/>
      <c r="Q147" s="91"/>
    </row>
    <row r="148" ht="15.75" customHeight="1">
      <c r="A148" s="146"/>
      <c r="B148" s="146"/>
      <c r="C148" s="146"/>
      <c r="D148" s="191">
        <f t="shared" si="39"/>
        <v>0</v>
      </c>
      <c r="E148" s="146"/>
      <c r="F148" s="146"/>
      <c r="G148" s="146" t="str">
        <f t="shared" si="51"/>
        <v>#DIV/0!</v>
      </c>
      <c r="H148" s="146"/>
      <c r="I148" s="170">
        <f t="shared" si="41"/>
        <v>0</v>
      </c>
      <c r="J148" s="146"/>
      <c r="K148" s="146"/>
      <c r="L148" s="181">
        <f t="shared" si="49"/>
        <v>0</v>
      </c>
      <c r="M148" s="94">
        <f t="shared" si="25"/>
        <v>0</v>
      </c>
      <c r="N148" s="94"/>
      <c r="O148" s="94"/>
      <c r="P148" s="94"/>
      <c r="Q148" s="91"/>
    </row>
    <row r="149" ht="15.75" customHeight="1">
      <c r="A149" s="146"/>
      <c r="B149" s="146"/>
      <c r="C149" s="146"/>
      <c r="D149" s="191">
        <f t="shared" si="39"/>
        <v>0</v>
      </c>
      <c r="E149" s="146"/>
      <c r="F149" s="146"/>
      <c r="G149" s="146" t="str">
        <f t="shared" si="51"/>
        <v>#DIV/0!</v>
      </c>
      <c r="H149" s="146"/>
      <c r="I149" s="170">
        <f t="shared" si="41"/>
        <v>0</v>
      </c>
      <c r="J149" s="146"/>
      <c r="K149" s="146"/>
      <c r="L149" s="181">
        <f t="shared" si="49"/>
        <v>0</v>
      </c>
      <c r="M149" s="94">
        <f t="shared" si="25"/>
        <v>0</v>
      </c>
      <c r="N149" s="94"/>
      <c r="O149" s="94"/>
      <c r="P149" s="94"/>
      <c r="Q149" s="91"/>
    </row>
    <row r="150" ht="15.75" customHeight="1">
      <c r="A150" s="146"/>
      <c r="B150" s="146"/>
      <c r="C150" s="146"/>
      <c r="D150" s="191">
        <f t="shared" si="39"/>
        <v>0</v>
      </c>
      <c r="E150" s="146"/>
      <c r="F150" s="146"/>
      <c r="G150" s="146" t="str">
        <f t="shared" si="51"/>
        <v>#DIV/0!</v>
      </c>
      <c r="H150" s="146"/>
      <c r="I150" s="170">
        <f t="shared" si="41"/>
        <v>0</v>
      </c>
      <c r="J150" s="146"/>
      <c r="K150" s="146"/>
      <c r="L150" s="181">
        <f t="shared" si="49"/>
        <v>0</v>
      </c>
      <c r="M150" s="94">
        <f t="shared" si="25"/>
        <v>0</v>
      </c>
      <c r="N150" s="94"/>
      <c r="O150" s="94"/>
      <c r="P150" s="94"/>
      <c r="Q150" s="91"/>
    </row>
    <row r="151" ht="15.75" customHeight="1">
      <c r="A151" s="146"/>
      <c r="B151" s="146"/>
      <c r="C151" s="146"/>
      <c r="D151" s="191">
        <f t="shared" si="39"/>
        <v>0</v>
      </c>
      <c r="E151" s="146"/>
      <c r="F151" s="146"/>
      <c r="G151" s="146" t="str">
        <f t="shared" si="51"/>
        <v>#DIV/0!</v>
      </c>
      <c r="H151" s="146"/>
      <c r="I151" s="170">
        <f t="shared" si="41"/>
        <v>0</v>
      </c>
      <c r="J151" s="146"/>
      <c r="K151" s="146"/>
      <c r="L151" s="181">
        <f t="shared" si="49"/>
        <v>0</v>
      </c>
      <c r="M151" s="94">
        <f t="shared" si="25"/>
        <v>0</v>
      </c>
      <c r="N151" s="94"/>
      <c r="O151" s="94"/>
      <c r="P151" s="94"/>
      <c r="Q151" s="91"/>
    </row>
    <row r="152" ht="15.75" customHeight="1">
      <c r="A152" s="146"/>
      <c r="B152" s="146"/>
      <c r="C152" s="146"/>
      <c r="D152" s="191">
        <f t="shared" si="39"/>
        <v>0</v>
      </c>
      <c r="E152" s="146"/>
      <c r="F152" s="146"/>
      <c r="G152" s="146" t="str">
        <f t="shared" si="51"/>
        <v>#DIV/0!</v>
      </c>
      <c r="H152" s="146"/>
      <c r="I152" s="170">
        <f t="shared" si="41"/>
        <v>0</v>
      </c>
      <c r="J152" s="146"/>
      <c r="K152" s="146"/>
      <c r="L152" s="181">
        <f t="shared" si="49"/>
        <v>0</v>
      </c>
      <c r="M152" s="94">
        <f t="shared" si="25"/>
        <v>0</v>
      </c>
      <c r="N152" s="94"/>
      <c r="O152" s="94"/>
      <c r="P152" s="94"/>
      <c r="Q152" s="91"/>
    </row>
    <row r="153" ht="15.75" customHeight="1">
      <c r="A153" s="146"/>
      <c r="B153" s="146"/>
      <c r="C153" s="146"/>
      <c r="D153" s="191">
        <f t="shared" si="39"/>
        <v>0</v>
      </c>
      <c r="E153" s="146"/>
      <c r="F153" s="146"/>
      <c r="G153" s="146" t="str">
        <f t="shared" si="51"/>
        <v>#DIV/0!</v>
      </c>
      <c r="H153" s="146"/>
      <c r="I153" s="170">
        <f t="shared" si="41"/>
        <v>0</v>
      </c>
      <c r="J153" s="146"/>
      <c r="K153" s="146"/>
      <c r="L153" s="181">
        <f t="shared" si="49"/>
        <v>0</v>
      </c>
      <c r="M153" s="94">
        <f t="shared" si="25"/>
        <v>0</v>
      </c>
      <c r="N153" s="94"/>
      <c r="O153" s="94"/>
      <c r="P153" s="94"/>
      <c r="Q153" s="91"/>
    </row>
    <row r="154" ht="15.75" customHeight="1">
      <c r="A154" s="146"/>
      <c r="B154" s="146"/>
      <c r="C154" s="146"/>
      <c r="D154" s="191">
        <f t="shared" si="39"/>
        <v>0</v>
      </c>
      <c r="E154" s="146"/>
      <c r="F154" s="146"/>
      <c r="G154" s="146" t="str">
        <f t="shared" si="51"/>
        <v>#DIV/0!</v>
      </c>
      <c r="H154" s="146"/>
      <c r="I154" s="170">
        <f t="shared" si="41"/>
        <v>0</v>
      </c>
      <c r="J154" s="146"/>
      <c r="K154" s="146"/>
      <c r="L154" s="181">
        <f t="shared" si="49"/>
        <v>0</v>
      </c>
      <c r="M154" s="94">
        <f t="shared" si="25"/>
        <v>0</v>
      </c>
      <c r="N154" s="94"/>
      <c r="O154" s="94"/>
      <c r="P154" s="94"/>
      <c r="Q154" s="91"/>
    </row>
    <row r="155" ht="15.75" customHeight="1">
      <c r="A155" s="146"/>
      <c r="B155" s="146"/>
      <c r="C155" s="146"/>
      <c r="D155" s="191">
        <f t="shared" si="39"/>
        <v>0</v>
      </c>
      <c r="E155" s="146"/>
      <c r="F155" s="146"/>
      <c r="G155" s="146" t="str">
        <f t="shared" si="51"/>
        <v>#DIV/0!</v>
      </c>
      <c r="H155" s="146"/>
      <c r="I155" s="170">
        <f t="shared" si="41"/>
        <v>0</v>
      </c>
      <c r="J155" s="146"/>
      <c r="K155" s="146"/>
      <c r="L155" s="181">
        <f t="shared" si="49"/>
        <v>0</v>
      </c>
      <c r="M155" s="94">
        <f t="shared" si="25"/>
        <v>0</v>
      </c>
      <c r="N155" s="94"/>
      <c r="O155" s="94"/>
      <c r="P155" s="94"/>
      <c r="Q155" s="91"/>
    </row>
    <row r="156" ht="15.75" customHeight="1">
      <c r="A156" s="146"/>
      <c r="B156" s="146"/>
      <c r="C156" s="146"/>
      <c r="D156" s="191">
        <f t="shared" si="39"/>
        <v>0</v>
      </c>
      <c r="E156" s="146"/>
      <c r="F156" s="146"/>
      <c r="G156" s="146" t="str">
        <f t="shared" si="51"/>
        <v>#DIV/0!</v>
      </c>
      <c r="H156" s="146"/>
      <c r="I156" s="170">
        <f t="shared" si="41"/>
        <v>0</v>
      </c>
      <c r="J156" s="146"/>
      <c r="K156" s="146"/>
      <c r="L156" s="181">
        <f t="shared" si="49"/>
        <v>0</v>
      </c>
      <c r="M156" s="94">
        <f t="shared" si="25"/>
        <v>0</v>
      </c>
      <c r="N156" s="94"/>
      <c r="O156" s="94"/>
      <c r="P156" s="94"/>
      <c r="Q156" s="91"/>
    </row>
    <row r="157" ht="15.75" customHeight="1">
      <c r="A157" s="146"/>
      <c r="B157" s="146"/>
      <c r="C157" s="146"/>
      <c r="D157" s="191">
        <f t="shared" si="39"/>
        <v>0</v>
      </c>
      <c r="E157" s="146"/>
      <c r="F157" s="146"/>
      <c r="G157" s="146" t="str">
        <f t="shared" si="51"/>
        <v>#DIV/0!</v>
      </c>
      <c r="H157" s="146"/>
      <c r="I157" s="170">
        <f t="shared" si="41"/>
        <v>0</v>
      </c>
      <c r="J157" s="146"/>
      <c r="K157" s="146"/>
      <c r="L157" s="181">
        <f t="shared" si="49"/>
        <v>0</v>
      </c>
      <c r="M157" s="94">
        <f t="shared" si="25"/>
        <v>0</v>
      </c>
      <c r="N157" s="94"/>
      <c r="O157" s="94"/>
      <c r="P157" s="94"/>
      <c r="Q157" s="91"/>
    </row>
    <row r="158" ht="15.75" customHeight="1">
      <c r="A158" s="146"/>
      <c r="B158" s="146"/>
      <c r="C158" s="146"/>
      <c r="D158" s="191">
        <f t="shared" si="39"/>
        <v>0</v>
      </c>
      <c r="E158" s="146"/>
      <c r="F158" s="146"/>
      <c r="G158" s="146" t="str">
        <f t="shared" si="51"/>
        <v>#DIV/0!</v>
      </c>
      <c r="H158" s="146"/>
      <c r="I158" s="170">
        <f t="shared" si="41"/>
        <v>0</v>
      </c>
      <c r="J158" s="146"/>
      <c r="K158" s="146"/>
      <c r="L158" s="241"/>
      <c r="M158" s="94">
        <f t="shared" si="25"/>
        <v>0</v>
      </c>
      <c r="N158" s="94"/>
      <c r="O158" s="94"/>
      <c r="P158" s="94"/>
      <c r="Q158" s="91"/>
    </row>
    <row r="159" ht="15.75" customHeight="1">
      <c r="A159" s="146"/>
      <c r="B159" s="146"/>
      <c r="C159" s="146"/>
      <c r="D159" s="191">
        <f t="shared" si="39"/>
        <v>0</v>
      </c>
      <c r="E159" s="146"/>
      <c r="F159" s="146"/>
      <c r="G159" s="146" t="str">
        <f t="shared" si="51"/>
        <v>#DIV/0!</v>
      </c>
      <c r="H159" s="146"/>
      <c r="I159" s="170">
        <f t="shared" si="41"/>
        <v>0</v>
      </c>
      <c r="J159" s="146"/>
      <c r="K159" s="146"/>
      <c r="L159" s="241"/>
      <c r="M159" s="94">
        <f t="shared" si="25"/>
        <v>0</v>
      </c>
      <c r="N159" s="94"/>
      <c r="O159" s="94"/>
      <c r="P159" s="94"/>
      <c r="Q159" s="91"/>
    </row>
    <row r="160" ht="15.75" customHeight="1">
      <c r="A160" s="146"/>
      <c r="B160" s="146"/>
      <c r="C160" s="146"/>
      <c r="D160" s="191">
        <f t="shared" si="39"/>
        <v>0</v>
      </c>
      <c r="E160" s="146"/>
      <c r="F160" s="146"/>
      <c r="G160" s="146" t="str">
        <f t="shared" si="51"/>
        <v>#DIV/0!</v>
      </c>
      <c r="H160" s="146"/>
      <c r="I160" s="170">
        <f t="shared" si="41"/>
        <v>0</v>
      </c>
      <c r="J160" s="146"/>
      <c r="K160" s="146"/>
      <c r="L160" s="241"/>
      <c r="M160" s="94">
        <f t="shared" si="25"/>
        <v>0</v>
      </c>
      <c r="N160" s="94"/>
      <c r="O160" s="94"/>
      <c r="P160" s="94"/>
      <c r="Q160" s="91"/>
    </row>
    <row r="161" ht="15.75" customHeight="1">
      <c r="A161" s="146"/>
      <c r="B161" s="146"/>
      <c r="C161" s="146"/>
      <c r="D161" s="191">
        <f t="shared" si="39"/>
        <v>0</v>
      </c>
      <c r="E161" s="146"/>
      <c r="F161" s="146"/>
      <c r="G161" s="146" t="str">
        <f t="shared" si="51"/>
        <v>#DIV/0!</v>
      </c>
      <c r="H161" s="146"/>
      <c r="I161" s="170">
        <f t="shared" si="41"/>
        <v>0</v>
      </c>
      <c r="J161" s="146"/>
      <c r="K161" s="146"/>
      <c r="L161" s="241"/>
      <c r="M161" s="94">
        <f t="shared" si="25"/>
        <v>0</v>
      </c>
      <c r="N161" s="94"/>
      <c r="O161" s="94"/>
      <c r="P161" s="94"/>
      <c r="Q161" s="91"/>
    </row>
    <row r="162" ht="15.75" customHeight="1">
      <c r="A162" s="146"/>
      <c r="B162" s="146"/>
      <c r="C162" s="146"/>
      <c r="D162" s="191">
        <f t="shared" si="39"/>
        <v>0</v>
      </c>
      <c r="E162" s="146"/>
      <c r="F162" s="146"/>
      <c r="G162" s="146" t="str">
        <f t="shared" si="51"/>
        <v>#DIV/0!</v>
      </c>
      <c r="H162" s="146"/>
      <c r="I162" s="170">
        <f t="shared" si="41"/>
        <v>0</v>
      </c>
      <c r="J162" s="146"/>
      <c r="K162" s="146"/>
      <c r="L162" s="241"/>
      <c r="M162" s="94">
        <f t="shared" si="25"/>
        <v>0</v>
      </c>
      <c r="N162" s="94"/>
      <c r="O162" s="94"/>
      <c r="P162" s="94"/>
      <c r="Q162" s="91"/>
    </row>
    <row r="163" ht="15.75" customHeight="1">
      <c r="A163" s="146"/>
      <c r="B163" s="146"/>
      <c r="C163" s="146"/>
      <c r="D163" s="191">
        <f t="shared" si="39"/>
        <v>0</v>
      </c>
      <c r="E163" s="146"/>
      <c r="F163" s="146"/>
      <c r="G163" s="146" t="str">
        <f t="shared" si="51"/>
        <v>#DIV/0!</v>
      </c>
      <c r="H163" s="146"/>
      <c r="I163" s="170">
        <f t="shared" si="41"/>
        <v>0</v>
      </c>
      <c r="J163" s="146"/>
      <c r="K163" s="146"/>
      <c r="L163" s="241"/>
      <c r="M163" s="94">
        <f t="shared" si="25"/>
        <v>0</v>
      </c>
      <c r="N163" s="94"/>
      <c r="O163" s="94"/>
      <c r="P163" s="94"/>
      <c r="Q163" s="91"/>
    </row>
    <row r="164" ht="15.75" customHeight="1">
      <c r="A164" s="146"/>
      <c r="B164" s="146"/>
      <c r="C164" s="146"/>
      <c r="D164" s="191">
        <f t="shared" si="39"/>
        <v>0</v>
      </c>
      <c r="E164" s="146"/>
      <c r="F164" s="146"/>
      <c r="G164" s="146" t="str">
        <f t="shared" si="51"/>
        <v>#DIV/0!</v>
      </c>
      <c r="H164" s="146"/>
      <c r="I164" s="170">
        <f t="shared" si="41"/>
        <v>0</v>
      </c>
      <c r="J164" s="146"/>
      <c r="K164" s="146"/>
      <c r="L164" s="241"/>
      <c r="M164" s="94">
        <f t="shared" si="25"/>
        <v>0</v>
      </c>
      <c r="N164" s="94"/>
      <c r="O164" s="94"/>
      <c r="P164" s="94"/>
      <c r="Q164" s="91"/>
    </row>
    <row r="165" ht="15.75" customHeight="1">
      <c r="A165" s="146"/>
      <c r="B165" s="146"/>
      <c r="C165" s="146"/>
      <c r="D165" s="191">
        <f t="shared" si="39"/>
        <v>0</v>
      </c>
      <c r="E165" s="146"/>
      <c r="F165" s="146"/>
      <c r="G165" s="146" t="str">
        <f t="shared" si="51"/>
        <v>#DIV/0!</v>
      </c>
      <c r="H165" s="146"/>
      <c r="I165" s="170">
        <f t="shared" si="41"/>
        <v>0</v>
      </c>
      <c r="J165" s="146"/>
      <c r="K165" s="146"/>
      <c r="L165" s="241"/>
      <c r="M165" s="94">
        <f t="shared" si="25"/>
        <v>0</v>
      </c>
      <c r="N165" s="94"/>
      <c r="O165" s="94"/>
      <c r="P165" s="94"/>
      <c r="Q165" s="91"/>
    </row>
    <row r="166" ht="15.75" customHeight="1">
      <c r="A166" s="146"/>
      <c r="B166" s="146"/>
      <c r="C166" s="146"/>
      <c r="D166" s="191">
        <f t="shared" si="39"/>
        <v>0</v>
      </c>
      <c r="E166" s="146"/>
      <c r="F166" s="146"/>
      <c r="G166" s="146" t="str">
        <f t="shared" si="51"/>
        <v>#DIV/0!</v>
      </c>
      <c r="H166" s="146"/>
      <c r="I166" s="170">
        <f t="shared" si="41"/>
        <v>0</v>
      </c>
      <c r="J166" s="146"/>
      <c r="K166" s="146"/>
      <c r="L166" s="241"/>
      <c r="M166" s="94">
        <f t="shared" si="25"/>
        <v>0</v>
      </c>
      <c r="N166" s="94"/>
      <c r="O166" s="94"/>
      <c r="P166" s="94"/>
      <c r="Q166" s="91"/>
    </row>
    <row r="167" ht="15.75" customHeight="1">
      <c r="A167" s="146"/>
      <c r="B167" s="146"/>
      <c r="C167" s="146"/>
      <c r="D167" s="191">
        <f t="shared" si="39"/>
        <v>0</v>
      </c>
      <c r="E167" s="146"/>
      <c r="F167" s="146"/>
      <c r="G167" s="146" t="str">
        <f t="shared" si="51"/>
        <v>#DIV/0!</v>
      </c>
      <c r="H167" s="146"/>
      <c r="I167" s="170">
        <f t="shared" si="41"/>
        <v>0</v>
      </c>
      <c r="J167" s="146"/>
      <c r="K167" s="146"/>
      <c r="L167" s="241"/>
      <c r="M167" s="94">
        <f t="shared" si="25"/>
        <v>0</v>
      </c>
      <c r="N167" s="94"/>
      <c r="O167" s="94"/>
      <c r="P167" s="94"/>
      <c r="Q167" s="91"/>
    </row>
    <row r="168" ht="15.75" customHeight="1">
      <c r="A168" s="146"/>
      <c r="B168" s="146"/>
      <c r="C168" s="146"/>
      <c r="D168" s="191">
        <f t="shared" si="39"/>
        <v>0</v>
      </c>
      <c r="E168" s="146"/>
      <c r="F168" s="146"/>
      <c r="G168" s="146" t="str">
        <f t="shared" si="51"/>
        <v>#DIV/0!</v>
      </c>
      <c r="H168" s="146"/>
      <c r="I168" s="170">
        <f t="shared" si="41"/>
        <v>0</v>
      </c>
      <c r="J168" s="146"/>
      <c r="K168" s="146"/>
      <c r="L168" s="241"/>
      <c r="M168" s="94">
        <f t="shared" si="25"/>
        <v>0</v>
      </c>
      <c r="N168" s="94"/>
      <c r="O168" s="94"/>
      <c r="P168" s="94"/>
      <c r="Q168" s="91"/>
    </row>
    <row r="169" ht="15.75" customHeight="1">
      <c r="A169" s="146"/>
      <c r="B169" s="146"/>
      <c r="C169" s="146"/>
      <c r="D169" s="191">
        <f t="shared" si="39"/>
        <v>0</v>
      </c>
      <c r="E169" s="146"/>
      <c r="F169" s="146"/>
      <c r="G169" s="146" t="str">
        <f t="shared" si="51"/>
        <v>#DIV/0!</v>
      </c>
      <c r="H169" s="146"/>
      <c r="I169" s="170">
        <f t="shared" si="41"/>
        <v>0</v>
      </c>
      <c r="J169" s="146"/>
      <c r="K169" s="146"/>
      <c r="L169" s="241"/>
      <c r="M169" s="94">
        <f t="shared" si="25"/>
        <v>0</v>
      </c>
      <c r="N169" s="94"/>
      <c r="O169" s="94"/>
      <c r="P169" s="94"/>
      <c r="Q169" s="91"/>
    </row>
    <row r="170" ht="15.75" customHeight="1">
      <c r="A170" s="146"/>
      <c r="B170" s="146"/>
      <c r="C170" s="146"/>
      <c r="D170" s="191">
        <f t="shared" si="39"/>
        <v>0</v>
      </c>
      <c r="E170" s="146"/>
      <c r="F170" s="146"/>
      <c r="G170" s="146" t="str">
        <f t="shared" si="51"/>
        <v>#DIV/0!</v>
      </c>
      <c r="H170" s="146"/>
      <c r="I170" s="170">
        <f t="shared" si="41"/>
        <v>0</v>
      </c>
      <c r="J170" s="146"/>
      <c r="K170" s="146"/>
      <c r="L170" s="241"/>
      <c r="M170" s="94">
        <f t="shared" si="25"/>
        <v>0</v>
      </c>
      <c r="N170" s="94"/>
      <c r="O170" s="94"/>
      <c r="P170" s="94"/>
      <c r="Q170" s="91"/>
    </row>
    <row r="171" ht="15.75" customHeight="1">
      <c r="A171" s="146"/>
      <c r="B171" s="146"/>
      <c r="C171" s="146"/>
      <c r="D171" s="191">
        <f t="shared" si="39"/>
        <v>0</v>
      </c>
      <c r="E171" s="146"/>
      <c r="F171" s="146"/>
      <c r="G171" s="146" t="str">
        <f t="shared" si="51"/>
        <v>#DIV/0!</v>
      </c>
      <c r="H171" s="146"/>
      <c r="I171" s="170">
        <f t="shared" si="41"/>
        <v>0</v>
      </c>
      <c r="J171" s="146"/>
      <c r="K171" s="146"/>
      <c r="L171" s="241"/>
      <c r="M171" s="94">
        <f t="shared" si="25"/>
        <v>0</v>
      </c>
      <c r="N171" s="94"/>
      <c r="O171" s="94"/>
      <c r="P171" s="94"/>
      <c r="Q171" s="91"/>
    </row>
    <row r="172" ht="15.75" customHeight="1">
      <c r="A172" s="146"/>
      <c r="B172" s="146"/>
      <c r="C172" s="146"/>
      <c r="D172" s="191">
        <f t="shared" si="39"/>
        <v>0</v>
      </c>
      <c r="E172" s="146"/>
      <c r="F172" s="146"/>
      <c r="G172" s="146" t="str">
        <f t="shared" si="51"/>
        <v>#DIV/0!</v>
      </c>
      <c r="H172" s="146"/>
      <c r="I172" s="170">
        <f t="shared" si="41"/>
        <v>0</v>
      </c>
      <c r="J172" s="146"/>
      <c r="K172" s="146"/>
      <c r="L172" s="241"/>
      <c r="M172" s="94">
        <f t="shared" si="25"/>
        <v>0</v>
      </c>
      <c r="N172" s="94"/>
      <c r="O172" s="94"/>
      <c r="P172" s="94"/>
      <c r="Q172" s="91"/>
    </row>
    <row r="173" ht="15.75" customHeight="1">
      <c r="A173" s="146"/>
      <c r="B173" s="146"/>
      <c r="C173" s="146"/>
      <c r="D173" s="191">
        <f t="shared" si="39"/>
        <v>0</v>
      </c>
      <c r="E173" s="146"/>
      <c r="F173" s="146"/>
      <c r="G173" s="146" t="str">
        <f t="shared" si="51"/>
        <v>#DIV/0!</v>
      </c>
      <c r="H173" s="146"/>
      <c r="I173" s="170">
        <f t="shared" si="41"/>
        <v>0</v>
      </c>
      <c r="J173" s="146"/>
      <c r="K173" s="146"/>
      <c r="L173" s="241"/>
      <c r="M173" s="94">
        <f t="shared" si="25"/>
        <v>0</v>
      </c>
      <c r="N173" s="94"/>
      <c r="O173" s="94"/>
      <c r="P173" s="94"/>
      <c r="Q173" s="91"/>
    </row>
    <row r="174" ht="15.75" customHeight="1">
      <c r="A174" s="146"/>
      <c r="B174" s="146"/>
      <c r="C174" s="146"/>
      <c r="D174" s="191">
        <f t="shared" si="39"/>
        <v>0</v>
      </c>
      <c r="E174" s="146"/>
      <c r="F174" s="146"/>
      <c r="G174" s="146" t="str">
        <f t="shared" si="51"/>
        <v>#DIV/0!</v>
      </c>
      <c r="H174" s="146"/>
      <c r="I174" s="170">
        <f t="shared" si="41"/>
        <v>0</v>
      </c>
      <c r="J174" s="146"/>
      <c r="K174" s="146"/>
      <c r="L174" s="241"/>
      <c r="M174" s="94">
        <f t="shared" si="25"/>
        <v>0</v>
      </c>
      <c r="N174" s="94"/>
      <c r="O174" s="94"/>
      <c r="P174" s="94"/>
      <c r="Q174" s="91"/>
    </row>
    <row r="175" ht="15.75" customHeight="1">
      <c r="A175" s="146"/>
      <c r="B175" s="146"/>
      <c r="C175" s="146"/>
      <c r="D175" s="191">
        <f t="shared" si="39"/>
        <v>0</v>
      </c>
      <c r="E175" s="146"/>
      <c r="F175" s="146"/>
      <c r="G175" s="146" t="str">
        <f t="shared" si="51"/>
        <v>#DIV/0!</v>
      </c>
      <c r="H175" s="146"/>
      <c r="I175" s="170">
        <f t="shared" si="41"/>
        <v>0</v>
      </c>
      <c r="J175" s="146"/>
      <c r="K175" s="146"/>
      <c r="L175" s="241"/>
      <c r="M175" s="94">
        <f t="shared" si="25"/>
        <v>0</v>
      </c>
      <c r="N175" s="94"/>
      <c r="O175" s="94"/>
      <c r="P175" s="94"/>
      <c r="Q175" s="91"/>
    </row>
    <row r="176" ht="15.75" customHeight="1">
      <c r="A176" s="146"/>
      <c r="B176" s="146"/>
      <c r="C176" s="146"/>
      <c r="D176" s="191">
        <f t="shared" si="39"/>
        <v>0</v>
      </c>
      <c r="E176" s="146"/>
      <c r="F176" s="146"/>
      <c r="G176" s="146" t="str">
        <f t="shared" si="51"/>
        <v>#DIV/0!</v>
      </c>
      <c r="H176" s="146"/>
      <c r="I176" s="170">
        <f t="shared" si="41"/>
        <v>0</v>
      </c>
      <c r="J176" s="146"/>
      <c r="K176" s="146"/>
      <c r="L176" s="241"/>
      <c r="M176" s="94">
        <f t="shared" si="25"/>
        <v>0</v>
      </c>
      <c r="N176" s="94"/>
      <c r="O176" s="94"/>
      <c r="P176" s="94"/>
      <c r="Q176" s="91"/>
    </row>
    <row r="177" ht="15.75" customHeight="1">
      <c r="A177" s="146"/>
      <c r="B177" s="146"/>
      <c r="C177" s="146"/>
      <c r="D177" s="191">
        <f t="shared" si="39"/>
        <v>0</v>
      </c>
      <c r="E177" s="146"/>
      <c r="F177" s="146"/>
      <c r="G177" s="146" t="str">
        <f t="shared" si="51"/>
        <v>#DIV/0!</v>
      </c>
      <c r="H177" s="146"/>
      <c r="I177" s="170">
        <f t="shared" si="41"/>
        <v>0</v>
      </c>
      <c r="J177" s="146"/>
      <c r="K177" s="146"/>
      <c r="L177" s="241"/>
      <c r="M177" s="94">
        <f t="shared" si="25"/>
        <v>0</v>
      </c>
      <c r="N177" s="94"/>
      <c r="O177" s="94"/>
      <c r="P177" s="94"/>
      <c r="Q177" s="91"/>
    </row>
    <row r="178" ht="15.75" customHeight="1">
      <c r="A178" s="146"/>
      <c r="B178" s="146"/>
      <c r="C178" s="146"/>
      <c r="D178" s="191">
        <f t="shared" si="39"/>
        <v>0</v>
      </c>
      <c r="E178" s="146"/>
      <c r="F178" s="146"/>
      <c r="G178" s="146" t="str">
        <f t="shared" si="51"/>
        <v>#DIV/0!</v>
      </c>
      <c r="H178" s="146"/>
      <c r="I178" s="170">
        <f t="shared" si="41"/>
        <v>0</v>
      </c>
      <c r="J178" s="146"/>
      <c r="K178" s="146"/>
      <c r="L178" s="241"/>
      <c r="M178" s="94">
        <f t="shared" si="25"/>
        <v>0</v>
      </c>
      <c r="N178" s="94"/>
      <c r="O178" s="94"/>
      <c r="P178" s="94"/>
      <c r="Q178" s="91"/>
    </row>
    <row r="179" ht="15.75" customHeight="1">
      <c r="A179" s="146"/>
      <c r="B179" s="146"/>
      <c r="C179" s="146"/>
      <c r="D179" s="191">
        <f t="shared" si="39"/>
        <v>0</v>
      </c>
      <c r="E179" s="146"/>
      <c r="F179" s="146"/>
      <c r="G179" s="146" t="str">
        <f t="shared" si="51"/>
        <v>#DIV/0!</v>
      </c>
      <c r="H179" s="146"/>
      <c r="I179" s="170">
        <f t="shared" si="41"/>
        <v>0</v>
      </c>
      <c r="J179" s="146"/>
      <c r="K179" s="146"/>
      <c r="L179" s="241"/>
      <c r="M179" s="94">
        <f t="shared" si="25"/>
        <v>0</v>
      </c>
      <c r="N179" s="94"/>
      <c r="O179" s="94"/>
      <c r="P179" s="94"/>
      <c r="Q179" s="91"/>
    </row>
    <row r="180" ht="15.75" customHeight="1">
      <c r="A180" s="146"/>
      <c r="B180" s="146"/>
      <c r="C180" s="146"/>
      <c r="D180" s="191">
        <f t="shared" si="39"/>
        <v>0</v>
      </c>
      <c r="E180" s="146"/>
      <c r="F180" s="146"/>
      <c r="G180" s="146" t="str">
        <f t="shared" si="51"/>
        <v>#DIV/0!</v>
      </c>
      <c r="H180" s="146"/>
      <c r="I180" s="170">
        <f t="shared" si="41"/>
        <v>0</v>
      </c>
      <c r="J180" s="146"/>
      <c r="K180" s="146"/>
      <c r="L180" s="241"/>
      <c r="M180" s="94">
        <f t="shared" si="25"/>
        <v>0</v>
      </c>
      <c r="N180" s="94"/>
      <c r="O180" s="94"/>
      <c r="P180" s="94"/>
      <c r="Q180" s="91"/>
    </row>
    <row r="181" ht="15.75" customHeight="1">
      <c r="A181" s="146"/>
      <c r="B181" s="146"/>
      <c r="C181" s="146"/>
      <c r="D181" s="191">
        <f t="shared" si="39"/>
        <v>0</v>
      </c>
      <c r="E181" s="146"/>
      <c r="F181" s="146"/>
      <c r="G181" s="146" t="str">
        <f t="shared" si="51"/>
        <v>#DIV/0!</v>
      </c>
      <c r="H181" s="146"/>
      <c r="I181" s="170">
        <f t="shared" si="41"/>
        <v>0</v>
      </c>
      <c r="J181" s="146"/>
      <c r="K181" s="146"/>
      <c r="L181" s="241"/>
      <c r="M181" s="94">
        <f t="shared" si="25"/>
        <v>0</v>
      </c>
      <c r="N181" s="94"/>
      <c r="O181" s="94"/>
      <c r="P181" s="94"/>
      <c r="Q181" s="91"/>
    </row>
    <row r="182" ht="15.75" customHeight="1">
      <c r="A182" s="146"/>
      <c r="B182" s="146"/>
      <c r="C182" s="146"/>
      <c r="D182" s="191">
        <f t="shared" si="39"/>
        <v>0</v>
      </c>
      <c r="E182" s="146"/>
      <c r="F182" s="146"/>
      <c r="G182" s="146" t="str">
        <f t="shared" si="51"/>
        <v>#DIV/0!</v>
      </c>
      <c r="H182" s="146"/>
      <c r="I182" s="170">
        <f t="shared" si="41"/>
        <v>0</v>
      </c>
      <c r="J182" s="146"/>
      <c r="K182" s="146"/>
      <c r="L182" s="241"/>
      <c r="M182" s="94">
        <f t="shared" si="25"/>
        <v>0</v>
      </c>
      <c r="N182" s="94"/>
      <c r="O182" s="94"/>
      <c r="P182" s="94"/>
      <c r="Q182" s="91"/>
    </row>
    <row r="183" ht="15.75" customHeight="1">
      <c r="A183" s="146"/>
      <c r="B183" s="146"/>
      <c r="C183" s="146"/>
      <c r="D183" s="191">
        <f t="shared" si="39"/>
        <v>0</v>
      </c>
      <c r="E183" s="146"/>
      <c r="F183" s="146"/>
      <c r="G183" s="146" t="str">
        <f t="shared" si="51"/>
        <v>#DIV/0!</v>
      </c>
      <c r="H183" s="146"/>
      <c r="I183" s="170">
        <f t="shared" si="41"/>
        <v>0</v>
      </c>
      <c r="J183" s="146"/>
      <c r="K183" s="146"/>
      <c r="L183" s="241"/>
      <c r="M183" s="94">
        <f t="shared" si="25"/>
        <v>0</v>
      </c>
      <c r="N183" s="94"/>
      <c r="O183" s="94"/>
      <c r="P183" s="94"/>
      <c r="Q183" s="91"/>
    </row>
    <row r="184" ht="15.75" customHeight="1">
      <c r="A184" s="146"/>
      <c r="B184" s="146"/>
      <c r="C184" s="146"/>
      <c r="D184" s="191">
        <f t="shared" si="39"/>
        <v>0</v>
      </c>
      <c r="E184" s="146"/>
      <c r="F184" s="146"/>
      <c r="G184" s="146" t="str">
        <f t="shared" si="51"/>
        <v>#DIV/0!</v>
      </c>
      <c r="H184" s="146"/>
      <c r="I184" s="170">
        <f t="shared" si="41"/>
        <v>0</v>
      </c>
      <c r="J184" s="146"/>
      <c r="K184" s="146"/>
      <c r="L184" s="241"/>
      <c r="M184" s="94">
        <f t="shared" si="25"/>
        <v>0</v>
      </c>
      <c r="N184" s="94"/>
      <c r="O184" s="94"/>
      <c r="P184" s="94"/>
      <c r="Q184" s="91"/>
    </row>
    <row r="185" ht="15.75" customHeight="1">
      <c r="A185" s="146"/>
      <c r="B185" s="146"/>
      <c r="C185" s="146"/>
      <c r="D185" s="191">
        <f t="shared" si="39"/>
        <v>0</v>
      </c>
      <c r="E185" s="146"/>
      <c r="F185" s="146"/>
      <c r="G185" s="146" t="str">
        <f t="shared" si="51"/>
        <v>#DIV/0!</v>
      </c>
      <c r="H185" s="146"/>
      <c r="I185" s="170">
        <f t="shared" si="41"/>
        <v>0</v>
      </c>
      <c r="J185" s="146"/>
      <c r="K185" s="146"/>
      <c r="L185" s="241"/>
      <c r="M185" s="94">
        <f t="shared" si="25"/>
        <v>0</v>
      </c>
      <c r="N185" s="94"/>
      <c r="O185" s="94"/>
      <c r="P185" s="94"/>
      <c r="Q185" s="91"/>
    </row>
    <row r="186" ht="15.75" customHeight="1">
      <c r="A186" s="146"/>
      <c r="B186" s="146"/>
      <c r="C186" s="146"/>
      <c r="D186" s="191">
        <f t="shared" si="39"/>
        <v>0</v>
      </c>
      <c r="E186" s="146"/>
      <c r="F186" s="146"/>
      <c r="G186" s="146" t="str">
        <f t="shared" si="51"/>
        <v>#DIV/0!</v>
      </c>
      <c r="H186" s="146"/>
      <c r="I186" s="170">
        <f t="shared" si="41"/>
        <v>0</v>
      </c>
      <c r="J186" s="146"/>
      <c r="K186" s="146"/>
      <c r="L186" s="241"/>
      <c r="M186" s="94">
        <f t="shared" si="25"/>
        <v>0</v>
      </c>
      <c r="N186" s="94"/>
      <c r="O186" s="94"/>
      <c r="P186" s="94"/>
      <c r="Q186" s="91"/>
    </row>
    <row r="187" ht="15.75" customHeight="1">
      <c r="A187" s="146"/>
      <c r="B187" s="146"/>
      <c r="C187" s="146"/>
      <c r="D187" s="191">
        <f t="shared" si="39"/>
        <v>0</v>
      </c>
      <c r="E187" s="146"/>
      <c r="F187" s="146"/>
      <c r="G187" s="146" t="str">
        <f t="shared" si="51"/>
        <v>#DIV/0!</v>
      </c>
      <c r="H187" s="146"/>
      <c r="I187" s="170">
        <f t="shared" si="41"/>
        <v>0</v>
      </c>
      <c r="J187" s="146"/>
      <c r="K187" s="146"/>
      <c r="L187" s="241"/>
      <c r="M187" s="94">
        <f t="shared" si="25"/>
        <v>0</v>
      </c>
      <c r="N187" s="94"/>
      <c r="O187" s="94"/>
      <c r="P187" s="94"/>
      <c r="Q187" s="91"/>
    </row>
    <row r="188" ht="15.75" customHeight="1">
      <c r="A188" s="146"/>
      <c r="B188" s="146"/>
      <c r="C188" s="146"/>
      <c r="D188" s="191">
        <f t="shared" si="39"/>
        <v>0</v>
      </c>
      <c r="E188" s="146"/>
      <c r="F188" s="146"/>
      <c r="G188" s="146" t="str">
        <f t="shared" si="51"/>
        <v>#DIV/0!</v>
      </c>
      <c r="H188" s="146"/>
      <c r="I188" s="170">
        <f t="shared" si="41"/>
        <v>0</v>
      </c>
      <c r="J188" s="146"/>
      <c r="K188" s="146"/>
      <c r="L188" s="241"/>
      <c r="M188" s="94">
        <f t="shared" si="25"/>
        <v>0</v>
      </c>
      <c r="N188" s="94"/>
      <c r="O188" s="94"/>
      <c r="P188" s="94"/>
      <c r="Q188" s="91"/>
    </row>
    <row r="189" ht="15.75" customHeight="1">
      <c r="A189" s="146"/>
      <c r="B189" s="146"/>
      <c r="C189" s="146"/>
      <c r="D189" s="191">
        <f t="shared" si="39"/>
        <v>0</v>
      </c>
      <c r="E189" s="146"/>
      <c r="F189" s="146"/>
      <c r="G189" s="146" t="str">
        <f t="shared" si="51"/>
        <v>#DIV/0!</v>
      </c>
      <c r="H189" s="146"/>
      <c r="I189" s="170">
        <f t="shared" si="41"/>
        <v>0</v>
      </c>
      <c r="J189" s="146"/>
      <c r="K189" s="146"/>
      <c r="L189" s="241"/>
      <c r="M189" s="94">
        <f t="shared" si="25"/>
        <v>0</v>
      </c>
      <c r="N189" s="94"/>
      <c r="O189" s="94"/>
      <c r="P189" s="94"/>
      <c r="Q189" s="91"/>
    </row>
    <row r="190" ht="15.75" customHeight="1">
      <c r="A190" s="146"/>
      <c r="B190" s="146"/>
      <c r="C190" s="146"/>
      <c r="D190" s="191">
        <f t="shared" si="39"/>
        <v>0</v>
      </c>
      <c r="E190" s="146"/>
      <c r="F190" s="146"/>
      <c r="G190" s="146" t="str">
        <f t="shared" si="51"/>
        <v>#DIV/0!</v>
      </c>
      <c r="H190" s="146"/>
      <c r="I190" s="170">
        <f t="shared" si="41"/>
        <v>0</v>
      </c>
      <c r="J190" s="146"/>
      <c r="K190" s="146"/>
      <c r="L190" s="241"/>
      <c r="M190" s="94">
        <f t="shared" si="25"/>
        <v>0</v>
      </c>
      <c r="N190" s="94"/>
      <c r="O190" s="94"/>
      <c r="P190" s="94"/>
      <c r="Q190" s="91"/>
    </row>
    <row r="191" ht="15.75" customHeight="1">
      <c r="A191" s="146"/>
      <c r="B191" s="146"/>
      <c r="C191" s="146"/>
      <c r="D191" s="191">
        <f t="shared" si="39"/>
        <v>0</v>
      </c>
      <c r="E191" s="146"/>
      <c r="F191" s="146"/>
      <c r="G191" s="146" t="str">
        <f t="shared" si="51"/>
        <v>#DIV/0!</v>
      </c>
      <c r="H191" s="146"/>
      <c r="I191" s="170">
        <f t="shared" si="41"/>
        <v>0</v>
      </c>
      <c r="J191" s="146"/>
      <c r="K191" s="146"/>
      <c r="L191" s="241"/>
      <c r="M191" s="94">
        <f t="shared" si="25"/>
        <v>0</v>
      </c>
      <c r="N191" s="94"/>
      <c r="O191" s="94"/>
      <c r="P191" s="94"/>
      <c r="Q191" s="91"/>
    </row>
    <row r="192" ht="15.75" customHeight="1">
      <c r="A192" s="146"/>
      <c r="B192" s="146"/>
      <c r="C192" s="146"/>
      <c r="D192" s="191">
        <f t="shared" si="39"/>
        <v>0</v>
      </c>
      <c r="E192" s="146"/>
      <c r="F192" s="146"/>
      <c r="G192" s="146" t="str">
        <f t="shared" si="51"/>
        <v>#DIV/0!</v>
      </c>
      <c r="H192" s="146"/>
      <c r="I192" s="170">
        <f t="shared" si="41"/>
        <v>0</v>
      </c>
      <c r="J192" s="146"/>
      <c r="K192" s="146"/>
      <c r="L192" s="241"/>
      <c r="M192" s="94">
        <f t="shared" si="25"/>
        <v>0</v>
      </c>
      <c r="N192" s="94"/>
      <c r="O192" s="94"/>
      <c r="P192" s="94"/>
      <c r="Q192" s="91"/>
    </row>
    <row r="193" ht="15.75" customHeight="1">
      <c r="A193" s="146"/>
      <c r="B193" s="146"/>
      <c r="C193" s="146"/>
      <c r="D193" s="191">
        <f t="shared" si="39"/>
        <v>0</v>
      </c>
      <c r="E193" s="146"/>
      <c r="F193" s="146"/>
      <c r="G193" s="146" t="str">
        <f t="shared" si="51"/>
        <v>#DIV/0!</v>
      </c>
      <c r="H193" s="146"/>
      <c r="I193" s="170">
        <f t="shared" si="41"/>
        <v>0</v>
      </c>
      <c r="J193" s="146"/>
      <c r="K193" s="146"/>
      <c r="L193" s="241"/>
      <c r="M193" s="94">
        <f t="shared" si="25"/>
        <v>0</v>
      </c>
      <c r="N193" s="94"/>
      <c r="O193" s="94"/>
      <c r="P193" s="94"/>
      <c r="Q193" s="91"/>
    </row>
    <row r="194" ht="15.75" customHeight="1">
      <c r="A194" s="146"/>
      <c r="B194" s="146"/>
      <c r="C194" s="146"/>
      <c r="D194" s="191">
        <f t="shared" si="39"/>
        <v>0</v>
      </c>
      <c r="E194" s="146"/>
      <c r="F194" s="146"/>
      <c r="G194" s="146" t="str">
        <f t="shared" si="51"/>
        <v>#DIV/0!</v>
      </c>
      <c r="H194" s="146"/>
      <c r="I194" s="170">
        <f t="shared" si="41"/>
        <v>0</v>
      </c>
      <c r="J194" s="146"/>
      <c r="K194" s="146"/>
      <c r="L194" s="241"/>
      <c r="M194" s="94">
        <f t="shared" si="25"/>
        <v>0</v>
      </c>
      <c r="N194" s="94"/>
      <c r="O194" s="94"/>
      <c r="P194" s="94"/>
      <c r="Q194" s="91"/>
    </row>
    <row r="195" ht="15.75" customHeight="1">
      <c r="A195" s="146"/>
      <c r="B195" s="146"/>
      <c r="C195" s="146"/>
      <c r="D195" s="191">
        <f t="shared" si="39"/>
        <v>0</v>
      </c>
      <c r="E195" s="146"/>
      <c r="F195" s="146"/>
      <c r="G195" s="146" t="str">
        <f t="shared" si="51"/>
        <v>#DIV/0!</v>
      </c>
      <c r="H195" s="146"/>
      <c r="I195" s="170">
        <f t="shared" si="41"/>
        <v>0</v>
      </c>
      <c r="J195" s="146"/>
      <c r="K195" s="146"/>
      <c r="L195" s="241"/>
      <c r="M195" s="94">
        <f t="shared" si="25"/>
        <v>0</v>
      </c>
      <c r="N195" s="94"/>
      <c r="O195" s="94"/>
      <c r="P195" s="94"/>
      <c r="Q195" s="91"/>
    </row>
    <row r="196" ht="15.75" customHeight="1">
      <c r="A196" s="146"/>
      <c r="B196" s="146"/>
      <c r="C196" s="146"/>
      <c r="D196" s="191">
        <f t="shared" si="39"/>
        <v>0</v>
      </c>
      <c r="E196" s="146"/>
      <c r="F196" s="146"/>
      <c r="G196" s="146" t="str">
        <f t="shared" si="51"/>
        <v>#DIV/0!</v>
      </c>
      <c r="H196" s="146"/>
      <c r="I196" s="170">
        <f t="shared" si="41"/>
        <v>0</v>
      </c>
      <c r="J196" s="146"/>
      <c r="K196" s="146"/>
      <c r="L196" s="241"/>
      <c r="M196" s="94">
        <f t="shared" si="25"/>
        <v>0</v>
      </c>
      <c r="N196" s="94"/>
      <c r="O196" s="94"/>
      <c r="P196" s="94"/>
      <c r="Q196" s="91"/>
    </row>
    <row r="197" ht="15.75" customHeight="1">
      <c r="A197" s="146"/>
      <c r="B197" s="146"/>
      <c r="C197" s="146"/>
      <c r="D197" s="191">
        <f t="shared" si="39"/>
        <v>0</v>
      </c>
      <c r="E197" s="146"/>
      <c r="F197" s="146"/>
      <c r="G197" s="146" t="str">
        <f t="shared" si="51"/>
        <v>#DIV/0!</v>
      </c>
      <c r="H197" s="146"/>
      <c r="I197" s="170">
        <f t="shared" si="41"/>
        <v>0</v>
      </c>
      <c r="J197" s="146"/>
      <c r="K197" s="146"/>
      <c r="L197" s="241"/>
      <c r="M197" s="94">
        <f t="shared" si="25"/>
        <v>0</v>
      </c>
      <c r="N197" s="94"/>
      <c r="O197" s="94"/>
      <c r="P197" s="94"/>
      <c r="Q197" s="91"/>
    </row>
    <row r="198" ht="15.75" customHeight="1">
      <c r="A198" s="146"/>
      <c r="B198" s="146"/>
      <c r="C198" s="146"/>
      <c r="D198" s="191">
        <f t="shared" si="39"/>
        <v>0</v>
      </c>
      <c r="E198" s="146"/>
      <c r="F198" s="146"/>
      <c r="G198" s="146" t="str">
        <f t="shared" si="51"/>
        <v>#DIV/0!</v>
      </c>
      <c r="H198" s="146"/>
      <c r="I198" s="170">
        <f t="shared" si="41"/>
        <v>0</v>
      </c>
      <c r="J198" s="146"/>
      <c r="K198" s="146"/>
      <c r="L198" s="241"/>
      <c r="M198" s="94">
        <f t="shared" si="25"/>
        <v>0</v>
      </c>
      <c r="N198" s="94"/>
      <c r="O198" s="94"/>
      <c r="P198" s="94"/>
      <c r="Q198" s="91"/>
    </row>
    <row r="199" ht="15.75" customHeight="1">
      <c r="A199" s="146"/>
      <c r="B199" s="146"/>
      <c r="C199" s="146"/>
      <c r="D199" s="146"/>
      <c r="E199" s="146"/>
      <c r="F199" s="146"/>
      <c r="G199" s="146" t="str">
        <f t="shared" si="51"/>
        <v>#DIV/0!</v>
      </c>
      <c r="H199" s="146"/>
      <c r="I199" s="170">
        <f t="shared" si="41"/>
        <v>0</v>
      </c>
      <c r="J199" s="146"/>
      <c r="K199" s="146"/>
      <c r="L199" s="241"/>
      <c r="M199" s="94">
        <f t="shared" si="25"/>
        <v>0</v>
      </c>
      <c r="N199" s="94"/>
      <c r="O199" s="94"/>
      <c r="P199" s="94"/>
      <c r="Q199" s="91"/>
    </row>
    <row r="200" ht="15.75" customHeight="1">
      <c r="A200" s="146"/>
      <c r="B200" s="146"/>
      <c r="C200" s="146"/>
      <c r="D200" s="146"/>
      <c r="E200" s="146"/>
      <c r="F200" s="146"/>
      <c r="G200" s="146" t="str">
        <f t="shared" si="51"/>
        <v>#DIV/0!</v>
      </c>
      <c r="H200" s="146"/>
      <c r="I200" s="170">
        <f t="shared" si="41"/>
        <v>0</v>
      </c>
      <c r="J200" s="146"/>
      <c r="K200" s="146"/>
      <c r="L200" s="241"/>
      <c r="M200" s="94">
        <f t="shared" si="25"/>
        <v>0</v>
      </c>
      <c r="N200" s="94"/>
      <c r="O200" s="94"/>
      <c r="P200" s="94"/>
      <c r="Q200" s="91"/>
    </row>
    <row r="201" ht="15.75" customHeight="1">
      <c r="A201" s="146"/>
      <c r="B201" s="146"/>
      <c r="C201" s="146"/>
      <c r="D201" s="146"/>
      <c r="E201" s="146"/>
      <c r="F201" s="146"/>
      <c r="G201" s="146" t="str">
        <f t="shared" si="51"/>
        <v>#DIV/0!</v>
      </c>
      <c r="H201" s="146"/>
      <c r="I201" s="170">
        <f t="shared" si="41"/>
        <v>0</v>
      </c>
      <c r="J201" s="146"/>
      <c r="K201" s="146"/>
      <c r="L201" s="241"/>
      <c r="M201" s="94">
        <f t="shared" si="25"/>
        <v>0</v>
      </c>
      <c r="N201" s="94"/>
      <c r="O201" s="94"/>
      <c r="P201" s="94"/>
      <c r="Q201" s="91"/>
    </row>
    <row r="202" ht="15.75" customHeight="1">
      <c r="A202" s="146"/>
      <c r="B202" s="146"/>
      <c r="C202" s="146"/>
      <c r="D202" s="146"/>
      <c r="E202" s="146"/>
      <c r="F202" s="146"/>
      <c r="G202" s="146" t="str">
        <f t="shared" si="51"/>
        <v>#DIV/0!</v>
      </c>
      <c r="H202" s="146"/>
      <c r="I202" s="170">
        <f t="shared" si="41"/>
        <v>0</v>
      </c>
      <c r="J202" s="146"/>
      <c r="K202" s="146"/>
      <c r="L202" s="241"/>
      <c r="M202" s="94">
        <f t="shared" si="25"/>
        <v>0</v>
      </c>
      <c r="N202" s="94"/>
      <c r="O202" s="94"/>
      <c r="P202" s="94"/>
      <c r="Q202" s="91"/>
    </row>
    <row r="203" ht="15.75" customHeight="1">
      <c r="A203" s="146"/>
      <c r="B203" s="146"/>
      <c r="C203" s="146"/>
      <c r="D203" s="146"/>
      <c r="E203" s="146"/>
      <c r="F203" s="146"/>
      <c r="G203" s="146" t="str">
        <f t="shared" si="51"/>
        <v>#DIV/0!</v>
      </c>
      <c r="H203" s="146"/>
      <c r="I203" s="170">
        <f t="shared" si="41"/>
        <v>0</v>
      </c>
      <c r="J203" s="146"/>
      <c r="K203" s="146"/>
      <c r="L203" s="241"/>
      <c r="M203" s="94">
        <f t="shared" si="25"/>
        <v>0</v>
      </c>
      <c r="N203" s="94"/>
      <c r="O203" s="94"/>
      <c r="P203" s="94"/>
      <c r="Q203" s="91"/>
    </row>
    <row r="204" ht="15.75" customHeight="1">
      <c r="A204" s="146"/>
      <c r="B204" s="146"/>
      <c r="C204" s="146"/>
      <c r="D204" s="146"/>
      <c r="E204" s="146"/>
      <c r="F204" s="146"/>
      <c r="G204" s="146" t="str">
        <f t="shared" si="51"/>
        <v>#DIV/0!</v>
      </c>
      <c r="H204" s="146"/>
      <c r="I204" s="170">
        <f t="shared" si="41"/>
        <v>0</v>
      </c>
      <c r="J204" s="146"/>
      <c r="K204" s="146"/>
      <c r="L204" s="241"/>
      <c r="M204" s="94">
        <f t="shared" si="25"/>
        <v>0</v>
      </c>
      <c r="N204" s="94"/>
      <c r="O204" s="94"/>
      <c r="P204" s="94"/>
      <c r="Q204" s="91"/>
    </row>
    <row r="205" ht="15.75" customHeight="1">
      <c r="A205" s="146"/>
      <c r="B205" s="146"/>
      <c r="C205" s="146"/>
      <c r="D205" s="146"/>
      <c r="E205" s="146"/>
      <c r="F205" s="146"/>
      <c r="G205" s="146" t="str">
        <f t="shared" si="51"/>
        <v>#DIV/0!</v>
      </c>
      <c r="H205" s="146"/>
      <c r="I205" s="170">
        <f t="shared" si="41"/>
        <v>0</v>
      </c>
      <c r="J205" s="146"/>
      <c r="K205" s="146"/>
      <c r="L205" s="241"/>
      <c r="M205" s="94">
        <f t="shared" si="25"/>
        <v>0</v>
      </c>
      <c r="N205" s="94"/>
      <c r="O205" s="94"/>
      <c r="P205" s="94"/>
      <c r="Q205" s="91"/>
    </row>
    <row r="206" ht="15.75" customHeight="1">
      <c r="A206" s="146"/>
      <c r="B206" s="146"/>
      <c r="C206" s="146"/>
      <c r="D206" s="146"/>
      <c r="E206" s="146"/>
      <c r="F206" s="146"/>
      <c r="G206" s="146" t="str">
        <f t="shared" si="51"/>
        <v>#DIV/0!</v>
      </c>
      <c r="H206" s="146"/>
      <c r="I206" s="170">
        <f t="shared" si="41"/>
        <v>0</v>
      </c>
      <c r="J206" s="146"/>
      <c r="K206" s="146"/>
      <c r="L206" s="241"/>
      <c r="M206" s="94">
        <f t="shared" si="25"/>
        <v>0</v>
      </c>
      <c r="N206" s="94"/>
      <c r="O206" s="94"/>
      <c r="P206" s="94"/>
      <c r="Q206" s="91"/>
    </row>
    <row r="207" ht="15.75" customHeight="1">
      <c r="A207" s="146"/>
      <c r="B207" s="146"/>
      <c r="C207" s="146"/>
      <c r="D207" s="146"/>
      <c r="E207" s="146"/>
      <c r="F207" s="146"/>
      <c r="G207" s="146" t="str">
        <f t="shared" si="51"/>
        <v>#DIV/0!</v>
      </c>
      <c r="H207" s="146"/>
      <c r="I207" s="170">
        <f t="shared" si="41"/>
        <v>0</v>
      </c>
      <c r="J207" s="146"/>
      <c r="K207" s="146"/>
      <c r="L207" s="241"/>
      <c r="M207" s="94">
        <f t="shared" si="25"/>
        <v>0</v>
      </c>
      <c r="N207" s="94"/>
      <c r="O207" s="94"/>
      <c r="P207" s="94"/>
      <c r="Q207" s="91"/>
    </row>
    <row r="208" ht="15.75" customHeight="1">
      <c r="A208" s="146"/>
      <c r="B208" s="146"/>
      <c r="C208" s="146"/>
      <c r="D208" s="146"/>
      <c r="E208" s="146"/>
      <c r="F208" s="146"/>
      <c r="G208" s="146" t="str">
        <f t="shared" si="51"/>
        <v>#DIV/0!</v>
      </c>
      <c r="H208" s="146"/>
      <c r="I208" s="170">
        <f t="shared" si="41"/>
        <v>0</v>
      </c>
      <c r="J208" s="146"/>
      <c r="K208" s="146"/>
      <c r="L208" s="241"/>
      <c r="M208" s="94">
        <f t="shared" si="25"/>
        <v>0</v>
      </c>
      <c r="N208" s="94"/>
      <c r="O208" s="94"/>
      <c r="P208" s="94"/>
      <c r="Q208" s="91"/>
    </row>
    <row r="209" ht="15.75" customHeight="1">
      <c r="A209" s="146"/>
      <c r="B209" s="146"/>
      <c r="C209" s="146"/>
      <c r="D209" s="146"/>
      <c r="E209" s="146"/>
      <c r="F209" s="146"/>
      <c r="G209" s="146" t="str">
        <f t="shared" si="51"/>
        <v>#DIV/0!</v>
      </c>
      <c r="H209" s="146"/>
      <c r="I209" s="170">
        <f t="shared" si="41"/>
        <v>0</v>
      </c>
      <c r="J209" s="146"/>
      <c r="K209" s="146"/>
      <c r="L209" s="241"/>
      <c r="M209" s="94">
        <f t="shared" si="25"/>
        <v>0</v>
      </c>
      <c r="N209" s="94"/>
      <c r="O209" s="94"/>
      <c r="P209" s="94"/>
      <c r="Q209" s="91"/>
    </row>
    <row r="210" ht="15.75" customHeight="1">
      <c r="A210" s="146"/>
      <c r="B210" s="146"/>
      <c r="C210" s="146"/>
      <c r="D210" s="146"/>
      <c r="E210" s="146"/>
      <c r="F210" s="146"/>
      <c r="G210" s="146" t="str">
        <f t="shared" si="51"/>
        <v>#DIV/0!</v>
      </c>
      <c r="H210" s="146"/>
      <c r="I210" s="170">
        <f t="shared" si="41"/>
        <v>0</v>
      </c>
      <c r="J210" s="146"/>
      <c r="K210" s="146"/>
      <c r="L210" s="241"/>
      <c r="M210" s="94">
        <f t="shared" si="25"/>
        <v>0</v>
      </c>
      <c r="N210" s="94"/>
      <c r="O210" s="94"/>
      <c r="P210" s="94"/>
      <c r="Q210" s="91"/>
    </row>
    <row r="211" ht="15.75" customHeight="1">
      <c r="A211" s="146"/>
      <c r="B211" s="146"/>
      <c r="C211" s="146"/>
      <c r="D211" s="146"/>
      <c r="E211" s="146"/>
      <c r="F211" s="146"/>
      <c r="G211" s="146" t="str">
        <f t="shared" si="51"/>
        <v>#DIV/0!</v>
      </c>
      <c r="H211" s="146"/>
      <c r="I211" s="170">
        <f t="shared" si="41"/>
        <v>0</v>
      </c>
      <c r="J211" s="146"/>
      <c r="K211" s="146"/>
      <c r="L211" s="241"/>
      <c r="M211" s="94">
        <f t="shared" si="25"/>
        <v>0</v>
      </c>
      <c r="N211" s="94"/>
      <c r="O211" s="94"/>
      <c r="P211" s="94"/>
      <c r="Q211" s="91"/>
    </row>
    <row r="212" ht="15.75" customHeight="1">
      <c r="A212" s="146"/>
      <c r="B212" s="146"/>
      <c r="C212" s="146"/>
      <c r="D212" s="146"/>
      <c r="E212" s="146"/>
      <c r="F212" s="146"/>
      <c r="G212" s="146" t="str">
        <f t="shared" si="51"/>
        <v>#DIV/0!</v>
      </c>
      <c r="H212" s="146"/>
      <c r="I212" s="170">
        <f t="shared" si="41"/>
        <v>0</v>
      </c>
      <c r="J212" s="146"/>
      <c r="K212" s="146"/>
      <c r="L212" s="241"/>
      <c r="M212" s="94">
        <f t="shared" si="25"/>
        <v>0</v>
      </c>
      <c r="N212" s="94"/>
      <c r="O212" s="94"/>
      <c r="P212" s="94"/>
      <c r="Q212" s="91"/>
    </row>
    <row r="213" ht="15.75" customHeight="1">
      <c r="A213" s="146"/>
      <c r="B213" s="146"/>
      <c r="C213" s="146"/>
      <c r="D213" s="146"/>
      <c r="E213" s="146"/>
      <c r="F213" s="146"/>
      <c r="G213" s="146" t="str">
        <f t="shared" si="51"/>
        <v>#DIV/0!</v>
      </c>
      <c r="H213" s="146"/>
      <c r="I213" s="170">
        <f t="shared" si="41"/>
        <v>0</v>
      </c>
      <c r="J213" s="146"/>
      <c r="K213" s="146"/>
      <c r="L213" s="241"/>
      <c r="M213" s="94">
        <f t="shared" si="25"/>
        <v>0</v>
      </c>
      <c r="N213" s="94"/>
      <c r="O213" s="94"/>
      <c r="P213" s="94"/>
      <c r="Q213" s="91"/>
    </row>
    <row r="214" ht="15.75" customHeight="1">
      <c r="A214" s="146"/>
      <c r="B214" s="146"/>
      <c r="C214" s="146"/>
      <c r="D214" s="146"/>
      <c r="E214" s="146"/>
      <c r="F214" s="146"/>
      <c r="G214" s="146" t="str">
        <f t="shared" si="51"/>
        <v>#DIV/0!</v>
      </c>
      <c r="H214" s="146"/>
      <c r="I214" s="170">
        <f t="shared" si="41"/>
        <v>0</v>
      </c>
      <c r="J214" s="146"/>
      <c r="K214" s="146"/>
      <c r="L214" s="241"/>
      <c r="M214" s="94">
        <f t="shared" si="25"/>
        <v>0</v>
      </c>
      <c r="N214" s="94"/>
      <c r="O214" s="94"/>
      <c r="P214" s="94"/>
      <c r="Q214" s="91"/>
    </row>
    <row r="215" ht="15.75" customHeight="1">
      <c r="A215" s="146"/>
      <c r="B215" s="146"/>
      <c r="C215" s="146"/>
      <c r="D215" s="146"/>
      <c r="E215" s="146"/>
      <c r="F215" s="146"/>
      <c r="G215" s="146" t="str">
        <f t="shared" si="51"/>
        <v>#DIV/0!</v>
      </c>
      <c r="H215" s="146"/>
      <c r="I215" s="170">
        <f t="shared" si="41"/>
        <v>0</v>
      </c>
      <c r="J215" s="146"/>
      <c r="K215" s="146"/>
      <c r="L215" s="241"/>
      <c r="M215" s="94">
        <f t="shared" si="25"/>
        <v>0</v>
      </c>
      <c r="N215" s="94"/>
      <c r="O215" s="94"/>
      <c r="P215" s="94"/>
      <c r="Q215" s="91"/>
    </row>
    <row r="216" ht="15.75" customHeight="1">
      <c r="A216" s="146"/>
      <c r="B216" s="146"/>
      <c r="C216" s="146"/>
      <c r="D216" s="146"/>
      <c r="E216" s="146"/>
      <c r="F216" s="146"/>
      <c r="G216" s="146" t="str">
        <f t="shared" si="51"/>
        <v>#DIV/0!</v>
      </c>
      <c r="H216" s="146"/>
      <c r="I216" s="170">
        <f t="shared" si="41"/>
        <v>0</v>
      </c>
      <c r="J216" s="146"/>
      <c r="K216" s="146"/>
      <c r="L216" s="241"/>
      <c r="M216" s="94">
        <f t="shared" si="25"/>
        <v>0</v>
      </c>
      <c r="N216" s="94"/>
      <c r="O216" s="94"/>
      <c r="P216" s="94"/>
      <c r="Q216" s="91"/>
    </row>
    <row r="217" ht="15.75" customHeight="1">
      <c r="A217" s="146"/>
      <c r="B217" s="146"/>
      <c r="C217" s="146"/>
      <c r="D217" s="146"/>
      <c r="E217" s="146"/>
      <c r="F217" s="146"/>
      <c r="G217" s="146" t="str">
        <f t="shared" si="51"/>
        <v>#DIV/0!</v>
      </c>
      <c r="H217" s="146"/>
      <c r="I217" s="170">
        <f t="shared" si="41"/>
        <v>0</v>
      </c>
      <c r="J217" s="146"/>
      <c r="K217" s="146"/>
      <c r="L217" s="241"/>
      <c r="M217" s="94">
        <f t="shared" si="25"/>
        <v>0</v>
      </c>
      <c r="N217" s="94"/>
      <c r="O217" s="94"/>
      <c r="P217" s="94"/>
      <c r="Q217" s="91"/>
    </row>
    <row r="218" ht="15.75" customHeight="1">
      <c r="K218" s="242"/>
    </row>
    <row r="219" ht="15.75" customHeight="1">
      <c r="K219" s="242"/>
    </row>
    <row r="220" ht="15.75" customHeight="1">
      <c r="K220" s="242"/>
    </row>
    <row r="221" ht="15.75" customHeight="1">
      <c r="K221" s="242"/>
    </row>
    <row r="222" ht="15.75" customHeight="1">
      <c r="K222" s="242"/>
    </row>
    <row r="223" ht="15.75" customHeight="1">
      <c r="K223" s="242"/>
    </row>
    <row r="224" ht="15.75" customHeight="1">
      <c r="K224" s="242"/>
    </row>
    <row r="225" ht="15.75" customHeight="1">
      <c r="K225" s="242"/>
    </row>
    <row r="226" ht="15.75" customHeight="1">
      <c r="K226" s="242"/>
    </row>
    <row r="227" ht="15.75" customHeight="1">
      <c r="K227" s="242"/>
    </row>
    <row r="228" ht="15.75" customHeight="1">
      <c r="K228" s="242"/>
    </row>
    <row r="229" ht="15.75" customHeight="1">
      <c r="K229" s="242"/>
    </row>
    <row r="230" ht="15.75" customHeight="1">
      <c r="K230" s="242"/>
    </row>
    <row r="231" ht="15.75" customHeight="1">
      <c r="K231" s="242"/>
    </row>
    <row r="232" ht="15.75" customHeight="1">
      <c r="K232" s="242"/>
    </row>
    <row r="233" ht="15.75" customHeight="1">
      <c r="K233" s="242"/>
    </row>
    <row r="234" ht="15.75" customHeight="1">
      <c r="K234" s="242"/>
    </row>
    <row r="235" ht="15.75" customHeight="1">
      <c r="K235" s="242"/>
    </row>
    <row r="236" ht="15.75" customHeight="1">
      <c r="K236" s="242"/>
    </row>
    <row r="237" ht="15.75" customHeight="1">
      <c r="K237" s="242"/>
    </row>
    <row r="238" ht="15.75" customHeight="1">
      <c r="K238" s="242"/>
    </row>
    <row r="239" ht="15.75" customHeight="1">
      <c r="K239" s="242"/>
    </row>
    <row r="240" ht="15.75" customHeight="1">
      <c r="K240" s="242"/>
    </row>
    <row r="241" ht="15.75" customHeight="1">
      <c r="K241" s="242"/>
    </row>
    <row r="242" ht="15.75" customHeight="1">
      <c r="K242" s="242"/>
    </row>
    <row r="243" ht="15.75" customHeight="1">
      <c r="K243" s="242"/>
    </row>
    <row r="244" ht="15.75" customHeight="1">
      <c r="K244" s="242"/>
    </row>
    <row r="245" ht="15.75" customHeight="1">
      <c r="K245" s="242"/>
    </row>
    <row r="246" ht="15.75" customHeight="1">
      <c r="K246" s="242"/>
    </row>
    <row r="247" ht="15.75" customHeight="1">
      <c r="K247" s="242"/>
    </row>
    <row r="248" ht="15.75" customHeight="1">
      <c r="K248" s="242"/>
    </row>
    <row r="249" ht="15.75" customHeight="1">
      <c r="K249" s="242"/>
    </row>
    <row r="250" ht="15.75" customHeight="1">
      <c r="K250" s="242"/>
    </row>
    <row r="251" ht="15.75" customHeight="1">
      <c r="K251" s="242"/>
    </row>
    <row r="252" ht="15.75" customHeight="1">
      <c r="K252" s="242"/>
    </row>
    <row r="253" ht="15.75" customHeight="1">
      <c r="K253" s="242"/>
    </row>
    <row r="254" ht="15.75" customHeight="1">
      <c r="K254" s="242"/>
    </row>
    <row r="255" ht="15.75" customHeight="1">
      <c r="K255" s="242"/>
    </row>
    <row r="256" ht="15.75" customHeight="1">
      <c r="K256" s="242"/>
    </row>
    <row r="257" ht="15.75" customHeight="1">
      <c r="K257" s="242"/>
    </row>
    <row r="258" ht="15.75" customHeight="1">
      <c r="K258" s="242"/>
    </row>
    <row r="259" ht="15.75" customHeight="1">
      <c r="K259" s="242"/>
    </row>
    <row r="260" ht="15.75" customHeight="1">
      <c r="K260" s="242"/>
    </row>
    <row r="261" ht="15.75" customHeight="1">
      <c r="K261" s="242"/>
    </row>
    <row r="262" ht="15.75" customHeight="1">
      <c r="K262" s="242"/>
    </row>
    <row r="263" ht="15.75" customHeight="1">
      <c r="K263" s="242"/>
    </row>
    <row r="264" ht="15.75" customHeight="1">
      <c r="K264" s="242"/>
    </row>
    <row r="265" ht="15.75" customHeight="1">
      <c r="K265" s="242"/>
    </row>
    <row r="266" ht="15.75" customHeight="1">
      <c r="K266" s="242"/>
    </row>
    <row r="267" ht="15.75" customHeight="1">
      <c r="K267" s="242"/>
    </row>
    <row r="268" ht="15.75" customHeight="1">
      <c r="K268" s="242"/>
    </row>
    <row r="269" ht="15.75" customHeight="1">
      <c r="K269" s="242"/>
    </row>
    <row r="270" ht="15.75" customHeight="1">
      <c r="K270" s="242"/>
    </row>
    <row r="271" ht="15.75" customHeight="1">
      <c r="K271" s="242"/>
    </row>
    <row r="272" ht="15.75" customHeight="1">
      <c r="K272" s="242"/>
    </row>
    <row r="273" ht="15.75" customHeight="1">
      <c r="K273" s="242"/>
    </row>
    <row r="274" ht="15.75" customHeight="1">
      <c r="K274" s="242"/>
    </row>
    <row r="275" ht="15.75" customHeight="1">
      <c r="K275" s="242"/>
    </row>
    <row r="276" ht="15.75" customHeight="1">
      <c r="K276" s="242"/>
    </row>
    <row r="277" ht="15.75" customHeight="1">
      <c r="K277" s="242"/>
    </row>
    <row r="278" ht="15.75" customHeight="1">
      <c r="K278" s="242"/>
    </row>
    <row r="279" ht="15.75" customHeight="1">
      <c r="K279" s="242"/>
    </row>
    <row r="280" ht="15.75" customHeight="1">
      <c r="K280" s="242"/>
    </row>
    <row r="281" ht="15.75" customHeight="1">
      <c r="K281" s="242"/>
    </row>
    <row r="282" ht="15.75" customHeight="1">
      <c r="K282" s="242"/>
    </row>
    <row r="283" ht="15.75" customHeight="1">
      <c r="K283" s="242"/>
    </row>
    <row r="284" ht="15.75" customHeight="1">
      <c r="K284" s="242"/>
    </row>
    <row r="285" ht="15.75" customHeight="1">
      <c r="K285" s="242"/>
    </row>
    <row r="286" ht="15.75" customHeight="1">
      <c r="K286" s="242"/>
    </row>
    <row r="287" ht="15.75" customHeight="1">
      <c r="K287" s="242"/>
    </row>
    <row r="288" ht="15.75" customHeight="1">
      <c r="K288" s="242"/>
    </row>
    <row r="289" ht="15.75" customHeight="1">
      <c r="K289" s="242"/>
    </row>
    <row r="290" ht="15.75" customHeight="1">
      <c r="K290" s="242"/>
    </row>
    <row r="291" ht="15.75" customHeight="1">
      <c r="K291" s="242"/>
    </row>
    <row r="292" ht="15.75" customHeight="1">
      <c r="K292" s="242"/>
    </row>
    <row r="293" ht="15.75" customHeight="1">
      <c r="K293" s="242"/>
    </row>
    <row r="294" ht="15.75" customHeight="1">
      <c r="K294" s="242"/>
    </row>
    <row r="295" ht="15.75" customHeight="1">
      <c r="K295" s="242"/>
    </row>
    <row r="296" ht="15.75" customHeight="1">
      <c r="K296" s="242"/>
    </row>
    <row r="297" ht="15.75" customHeight="1">
      <c r="K297" s="242"/>
    </row>
    <row r="298" ht="15.75" customHeight="1">
      <c r="K298" s="242"/>
    </row>
    <row r="299" ht="15.75" customHeight="1">
      <c r="K299" s="242"/>
    </row>
    <row r="300" ht="15.75" customHeight="1">
      <c r="K300" s="242"/>
    </row>
    <row r="301" ht="15.75" customHeight="1">
      <c r="K301" s="242"/>
    </row>
    <row r="302" ht="15.75" customHeight="1">
      <c r="K302" s="242"/>
    </row>
    <row r="303" ht="15.75" customHeight="1">
      <c r="K303" s="242"/>
    </row>
    <row r="304" ht="15.75" customHeight="1">
      <c r="K304" s="242"/>
    </row>
    <row r="305" ht="15.75" customHeight="1">
      <c r="K305" s="242"/>
    </row>
    <row r="306" ht="15.75" customHeight="1">
      <c r="K306" s="242"/>
    </row>
    <row r="307" ht="15.75" customHeight="1">
      <c r="K307" s="242"/>
    </row>
    <row r="308" ht="15.75" customHeight="1">
      <c r="K308" s="242"/>
    </row>
    <row r="309" ht="15.75" customHeight="1">
      <c r="K309" s="242"/>
    </row>
    <row r="310" ht="15.75" customHeight="1">
      <c r="K310" s="242"/>
    </row>
    <row r="311" ht="15.75" customHeight="1">
      <c r="K311" s="242"/>
    </row>
    <row r="312" ht="15.75" customHeight="1">
      <c r="K312" s="242"/>
    </row>
    <row r="313" ht="15.75" customHeight="1">
      <c r="K313" s="242"/>
    </row>
    <row r="314" ht="15.75" customHeight="1">
      <c r="K314" s="242"/>
    </row>
    <row r="315" ht="15.75" customHeight="1">
      <c r="K315" s="242"/>
    </row>
    <row r="316" ht="15.75" customHeight="1">
      <c r="K316" s="242"/>
    </row>
    <row r="317" ht="15.75" customHeight="1">
      <c r="K317" s="242"/>
    </row>
    <row r="318" ht="15.75" customHeight="1">
      <c r="K318" s="242"/>
    </row>
    <row r="319" ht="15.75" customHeight="1">
      <c r="K319" s="242"/>
    </row>
    <row r="320" ht="15.75" customHeight="1">
      <c r="K320" s="242"/>
    </row>
    <row r="321" ht="15.75" customHeight="1">
      <c r="K321" s="242"/>
    </row>
    <row r="322" ht="15.75" customHeight="1">
      <c r="K322" s="242"/>
    </row>
    <row r="323" ht="15.75" customHeight="1">
      <c r="K323" s="242"/>
    </row>
    <row r="324" ht="15.75" customHeight="1">
      <c r="K324" s="242"/>
    </row>
    <row r="325" ht="15.75" customHeight="1">
      <c r="K325" s="242"/>
    </row>
    <row r="326" ht="15.75" customHeight="1">
      <c r="K326" s="242"/>
    </row>
    <row r="327" ht="15.75" customHeight="1">
      <c r="K327" s="242"/>
    </row>
    <row r="328" ht="15.75" customHeight="1">
      <c r="K328" s="242"/>
    </row>
    <row r="329" ht="15.75" customHeight="1">
      <c r="K329" s="242"/>
    </row>
    <row r="330" ht="15.75" customHeight="1">
      <c r="K330" s="242"/>
    </row>
    <row r="331" ht="15.75" customHeight="1">
      <c r="K331" s="242"/>
    </row>
    <row r="332" ht="15.75" customHeight="1">
      <c r="K332" s="242"/>
    </row>
    <row r="333" ht="15.75" customHeight="1">
      <c r="K333" s="242"/>
    </row>
    <row r="334" ht="15.75" customHeight="1">
      <c r="K334" s="242"/>
    </row>
    <row r="335" ht="15.75" customHeight="1">
      <c r="K335" s="242"/>
    </row>
    <row r="336" ht="15.75" customHeight="1">
      <c r="K336" s="242"/>
    </row>
    <row r="337" ht="15.75" customHeight="1">
      <c r="K337" s="242"/>
    </row>
    <row r="338" ht="15.75" customHeight="1">
      <c r="K338" s="242"/>
    </row>
    <row r="339" ht="15.75" customHeight="1">
      <c r="K339" s="242"/>
    </row>
    <row r="340" ht="15.75" customHeight="1">
      <c r="K340" s="242"/>
    </row>
    <row r="341" ht="15.75" customHeight="1">
      <c r="K341" s="242"/>
    </row>
    <row r="342" ht="15.75" customHeight="1">
      <c r="K342" s="242"/>
    </row>
    <row r="343" ht="15.75" customHeight="1">
      <c r="K343" s="242"/>
    </row>
    <row r="344" ht="15.75" customHeight="1">
      <c r="K344" s="242"/>
    </row>
    <row r="345" ht="15.75" customHeight="1">
      <c r="K345" s="242"/>
    </row>
    <row r="346" ht="15.75" customHeight="1">
      <c r="K346" s="242"/>
    </row>
    <row r="347" ht="15.75" customHeight="1">
      <c r="K347" s="242"/>
    </row>
    <row r="348" ht="15.75" customHeight="1">
      <c r="K348" s="242"/>
    </row>
    <row r="349" ht="15.75" customHeight="1">
      <c r="K349" s="242"/>
    </row>
    <row r="350" ht="15.75" customHeight="1">
      <c r="K350" s="242"/>
    </row>
    <row r="351" ht="15.75" customHeight="1">
      <c r="K351" s="242"/>
    </row>
    <row r="352" ht="15.75" customHeight="1">
      <c r="K352" s="242"/>
    </row>
    <row r="353" ht="15.75" customHeight="1">
      <c r="K353" s="242"/>
    </row>
    <row r="354" ht="15.75" customHeight="1">
      <c r="K354" s="242"/>
    </row>
    <row r="355" ht="15.75" customHeight="1">
      <c r="K355" s="242"/>
    </row>
    <row r="356" ht="15.75" customHeight="1">
      <c r="K356" s="242"/>
    </row>
    <row r="357" ht="15.75" customHeight="1">
      <c r="K357" s="242"/>
    </row>
    <row r="358" ht="15.75" customHeight="1">
      <c r="K358" s="242"/>
    </row>
    <row r="359" ht="15.75" customHeight="1">
      <c r="K359" s="242"/>
    </row>
    <row r="360" ht="15.75" customHeight="1">
      <c r="K360" s="242"/>
    </row>
    <row r="361" ht="15.75" customHeight="1">
      <c r="K361" s="242"/>
    </row>
    <row r="362" ht="15.75" customHeight="1">
      <c r="K362" s="242"/>
    </row>
    <row r="363" ht="15.75" customHeight="1">
      <c r="K363" s="242"/>
    </row>
    <row r="364" ht="15.75" customHeight="1">
      <c r="K364" s="242"/>
    </row>
    <row r="365" ht="15.75" customHeight="1">
      <c r="K365" s="242"/>
    </row>
    <row r="366" ht="15.75" customHeight="1">
      <c r="K366" s="242"/>
    </row>
    <row r="367" ht="15.75" customHeight="1">
      <c r="K367" s="242"/>
    </row>
    <row r="368" ht="15.75" customHeight="1">
      <c r="K368" s="242"/>
    </row>
    <row r="369" ht="15.75" customHeight="1">
      <c r="K369" s="242"/>
    </row>
    <row r="370" ht="15.75" customHeight="1">
      <c r="K370" s="242"/>
    </row>
    <row r="371" ht="15.75" customHeight="1">
      <c r="K371" s="242"/>
    </row>
    <row r="372" ht="15.75" customHeight="1">
      <c r="K372" s="242"/>
    </row>
    <row r="373" ht="15.75" customHeight="1">
      <c r="K373" s="242"/>
    </row>
    <row r="374" ht="15.75" customHeight="1">
      <c r="K374" s="242"/>
    </row>
    <row r="375" ht="15.75" customHeight="1">
      <c r="K375" s="242"/>
    </row>
    <row r="376" ht="15.75" customHeight="1">
      <c r="K376" s="242"/>
    </row>
    <row r="377" ht="15.75" customHeight="1">
      <c r="K377" s="242"/>
    </row>
    <row r="378" ht="15.75" customHeight="1">
      <c r="K378" s="242"/>
    </row>
    <row r="379" ht="15.75" customHeight="1">
      <c r="K379" s="242"/>
    </row>
    <row r="380" ht="15.75" customHeight="1">
      <c r="K380" s="242"/>
    </row>
    <row r="381" ht="15.75" customHeight="1">
      <c r="K381" s="242"/>
    </row>
    <row r="382" ht="15.75" customHeight="1">
      <c r="K382" s="242"/>
    </row>
    <row r="383" ht="15.75" customHeight="1">
      <c r="K383" s="242"/>
    </row>
    <row r="384" ht="15.75" customHeight="1">
      <c r="K384" s="242"/>
    </row>
    <row r="385" ht="15.75" customHeight="1">
      <c r="K385" s="242"/>
    </row>
    <row r="386" ht="15.75" customHeight="1">
      <c r="K386" s="242"/>
    </row>
    <row r="387" ht="15.75" customHeight="1">
      <c r="K387" s="242"/>
    </row>
    <row r="388" ht="15.75" customHeight="1">
      <c r="K388" s="242"/>
    </row>
    <row r="389" ht="15.75" customHeight="1">
      <c r="K389" s="242"/>
    </row>
    <row r="390" ht="15.75" customHeight="1">
      <c r="K390" s="242"/>
    </row>
    <row r="391" ht="15.75" customHeight="1">
      <c r="K391" s="242"/>
    </row>
    <row r="392" ht="15.75" customHeight="1">
      <c r="K392" s="242"/>
    </row>
    <row r="393" ht="15.75" customHeight="1">
      <c r="K393" s="242"/>
    </row>
    <row r="394" ht="15.75" customHeight="1">
      <c r="K394" s="242"/>
    </row>
    <row r="395" ht="15.75" customHeight="1">
      <c r="K395" s="242"/>
    </row>
    <row r="396" ht="15.75" customHeight="1">
      <c r="K396" s="242"/>
    </row>
    <row r="397" ht="15.75" customHeight="1">
      <c r="K397" s="242"/>
    </row>
    <row r="398" ht="15.75" customHeight="1">
      <c r="K398" s="242"/>
    </row>
    <row r="399" ht="15.75" customHeight="1">
      <c r="K399" s="242"/>
    </row>
    <row r="400" ht="15.75" customHeight="1">
      <c r="K400" s="242"/>
    </row>
    <row r="401" ht="15.75" customHeight="1">
      <c r="K401" s="242"/>
    </row>
    <row r="402" ht="15.75" customHeight="1">
      <c r="K402" s="242"/>
    </row>
    <row r="403" ht="15.75" customHeight="1">
      <c r="K403" s="242"/>
    </row>
    <row r="404" ht="15.75" customHeight="1">
      <c r="K404" s="242"/>
    </row>
    <row r="405" ht="15.75" customHeight="1">
      <c r="K405" s="242"/>
    </row>
    <row r="406" ht="15.75" customHeight="1">
      <c r="K406" s="242"/>
    </row>
    <row r="407" ht="15.75" customHeight="1">
      <c r="K407" s="242"/>
    </row>
    <row r="408" ht="15.75" customHeight="1">
      <c r="K408" s="242"/>
    </row>
    <row r="409" ht="15.75" customHeight="1">
      <c r="K409" s="242"/>
    </row>
    <row r="410" ht="15.75" customHeight="1">
      <c r="K410" s="242"/>
    </row>
    <row r="411" ht="15.75" customHeight="1">
      <c r="K411" s="242"/>
    </row>
    <row r="412" ht="15.75" customHeight="1">
      <c r="K412" s="242"/>
    </row>
    <row r="413" ht="15.75" customHeight="1">
      <c r="K413" s="242"/>
    </row>
    <row r="414" ht="15.75" customHeight="1">
      <c r="K414" s="242"/>
    </row>
    <row r="415" ht="15.75" customHeight="1">
      <c r="K415" s="242"/>
    </row>
    <row r="416" ht="15.75" customHeight="1">
      <c r="K416" s="242"/>
    </row>
    <row r="417" ht="15.75" customHeight="1">
      <c r="K417" s="242"/>
    </row>
    <row r="418" ht="15.75" customHeight="1">
      <c r="K418" s="242"/>
    </row>
    <row r="419" ht="15.75" customHeight="1">
      <c r="K419" s="242"/>
    </row>
    <row r="420" ht="15.75" customHeight="1">
      <c r="K420" s="242"/>
    </row>
    <row r="421" ht="15.75" customHeight="1">
      <c r="K421" s="242"/>
    </row>
    <row r="422" ht="15.75" customHeight="1">
      <c r="K422" s="242"/>
    </row>
    <row r="423" ht="15.75" customHeight="1">
      <c r="K423" s="242"/>
    </row>
    <row r="424" ht="15.75" customHeight="1">
      <c r="K424" s="242"/>
    </row>
    <row r="425" ht="15.75" customHeight="1">
      <c r="K425" s="242"/>
    </row>
    <row r="426" ht="15.75" customHeight="1">
      <c r="K426" s="242"/>
    </row>
    <row r="427" ht="15.75" customHeight="1">
      <c r="K427" s="242"/>
    </row>
    <row r="428" ht="15.75" customHeight="1">
      <c r="K428" s="242"/>
    </row>
    <row r="429" ht="15.75" customHeight="1">
      <c r="K429" s="242"/>
    </row>
    <row r="430" ht="15.75" customHeight="1">
      <c r="K430" s="242"/>
    </row>
    <row r="431" ht="15.75" customHeight="1">
      <c r="K431" s="242"/>
    </row>
    <row r="432" ht="15.75" customHeight="1">
      <c r="K432" s="242"/>
    </row>
    <row r="433" ht="15.75" customHeight="1">
      <c r="K433" s="242"/>
    </row>
    <row r="434" ht="15.75" customHeight="1">
      <c r="K434" s="242"/>
    </row>
    <row r="435" ht="15.75" customHeight="1">
      <c r="K435" s="242"/>
    </row>
    <row r="436" ht="15.75" customHeight="1">
      <c r="K436" s="242"/>
    </row>
    <row r="437" ht="15.75" customHeight="1">
      <c r="K437" s="242"/>
    </row>
    <row r="438" ht="15.75" customHeight="1">
      <c r="K438" s="242"/>
    </row>
    <row r="439" ht="15.75" customHeight="1">
      <c r="K439" s="242"/>
    </row>
    <row r="440" ht="15.75" customHeight="1">
      <c r="K440" s="242"/>
    </row>
    <row r="441" ht="15.75" customHeight="1">
      <c r="K441" s="242"/>
    </row>
    <row r="442" ht="15.75" customHeight="1">
      <c r="K442" s="242"/>
    </row>
    <row r="443" ht="15.75" customHeight="1">
      <c r="K443" s="242"/>
    </row>
    <row r="444" ht="15.75" customHeight="1">
      <c r="K444" s="242"/>
    </row>
    <row r="445" ht="15.75" customHeight="1">
      <c r="K445" s="242"/>
    </row>
    <row r="446" ht="15.75" customHeight="1">
      <c r="K446" s="242"/>
    </row>
    <row r="447" ht="15.75" customHeight="1">
      <c r="K447" s="242"/>
    </row>
    <row r="448" ht="15.75" customHeight="1">
      <c r="K448" s="242"/>
    </row>
    <row r="449" ht="15.75" customHeight="1">
      <c r="K449" s="242"/>
    </row>
    <row r="450" ht="15.75" customHeight="1">
      <c r="K450" s="242"/>
    </row>
    <row r="451" ht="15.75" customHeight="1">
      <c r="K451" s="242"/>
    </row>
    <row r="452" ht="15.75" customHeight="1">
      <c r="K452" s="242"/>
    </row>
    <row r="453" ht="15.75" customHeight="1">
      <c r="K453" s="242"/>
    </row>
    <row r="454" ht="15.75" customHeight="1">
      <c r="K454" s="242"/>
    </row>
    <row r="455" ht="15.75" customHeight="1">
      <c r="K455" s="242"/>
    </row>
    <row r="456" ht="15.75" customHeight="1">
      <c r="K456" s="242"/>
    </row>
    <row r="457" ht="15.75" customHeight="1">
      <c r="K457" s="242"/>
    </row>
    <row r="458" ht="15.75" customHeight="1">
      <c r="K458" s="242"/>
    </row>
    <row r="459" ht="15.75" customHeight="1">
      <c r="K459" s="242"/>
    </row>
    <row r="460" ht="15.75" customHeight="1">
      <c r="K460" s="242"/>
    </row>
    <row r="461" ht="15.75" customHeight="1">
      <c r="K461" s="242"/>
    </row>
    <row r="462" ht="15.75" customHeight="1">
      <c r="K462" s="242"/>
    </row>
    <row r="463" ht="15.75" customHeight="1">
      <c r="K463" s="242"/>
    </row>
    <row r="464" ht="15.75" customHeight="1">
      <c r="K464" s="242"/>
    </row>
    <row r="465" ht="15.75" customHeight="1">
      <c r="K465" s="242"/>
    </row>
    <row r="466" ht="15.75" customHeight="1">
      <c r="K466" s="242"/>
    </row>
    <row r="467" ht="15.75" customHeight="1">
      <c r="K467" s="242"/>
    </row>
    <row r="468" ht="15.75" customHeight="1">
      <c r="K468" s="242"/>
    </row>
    <row r="469" ht="15.75" customHeight="1">
      <c r="K469" s="242"/>
    </row>
    <row r="470" ht="15.75" customHeight="1">
      <c r="K470" s="242"/>
    </row>
    <row r="471" ht="15.75" customHeight="1">
      <c r="K471" s="242"/>
    </row>
    <row r="472" ht="15.75" customHeight="1">
      <c r="K472" s="242"/>
    </row>
    <row r="473" ht="15.75" customHeight="1">
      <c r="K473" s="242"/>
    </row>
    <row r="474" ht="15.75" customHeight="1">
      <c r="K474" s="242"/>
    </row>
    <row r="475" ht="15.75" customHeight="1">
      <c r="K475" s="242"/>
    </row>
    <row r="476" ht="15.75" customHeight="1">
      <c r="K476" s="242"/>
    </row>
    <row r="477" ht="15.75" customHeight="1">
      <c r="K477" s="242"/>
    </row>
    <row r="478" ht="15.75" customHeight="1">
      <c r="K478" s="242"/>
    </row>
    <row r="479" ht="15.75" customHeight="1">
      <c r="K479" s="242"/>
    </row>
    <row r="480" ht="15.75" customHeight="1">
      <c r="K480" s="242"/>
    </row>
    <row r="481" ht="15.75" customHeight="1">
      <c r="K481" s="242"/>
    </row>
    <row r="482" ht="15.75" customHeight="1">
      <c r="K482" s="242"/>
    </row>
    <row r="483" ht="15.75" customHeight="1">
      <c r="K483" s="242"/>
    </row>
    <row r="484" ht="15.75" customHeight="1">
      <c r="K484" s="242"/>
    </row>
    <row r="485" ht="15.75" customHeight="1">
      <c r="K485" s="242"/>
    </row>
    <row r="486" ht="15.75" customHeight="1">
      <c r="K486" s="242"/>
    </row>
    <row r="487" ht="15.75" customHeight="1">
      <c r="K487" s="242"/>
    </row>
    <row r="488" ht="15.75" customHeight="1">
      <c r="K488" s="242"/>
    </row>
    <row r="489" ht="15.75" customHeight="1">
      <c r="K489" s="242"/>
    </row>
    <row r="490" ht="15.75" customHeight="1">
      <c r="K490" s="242"/>
    </row>
    <row r="491" ht="15.75" customHeight="1">
      <c r="K491" s="242"/>
    </row>
    <row r="492" ht="15.75" customHeight="1">
      <c r="K492" s="242"/>
    </row>
    <row r="493" ht="15.75" customHeight="1">
      <c r="K493" s="242"/>
    </row>
    <row r="494" ht="15.75" customHeight="1">
      <c r="K494" s="242"/>
    </row>
    <row r="495" ht="15.75" customHeight="1">
      <c r="K495" s="242"/>
    </row>
    <row r="496" ht="15.75" customHeight="1">
      <c r="K496" s="242"/>
    </row>
    <row r="497" ht="15.75" customHeight="1">
      <c r="K497" s="242"/>
    </row>
    <row r="498" ht="15.75" customHeight="1">
      <c r="K498" s="242"/>
    </row>
    <row r="499" ht="15.75" customHeight="1">
      <c r="K499" s="242"/>
    </row>
    <row r="500" ht="15.75" customHeight="1">
      <c r="K500" s="242"/>
    </row>
    <row r="501" ht="15.75" customHeight="1">
      <c r="K501" s="242"/>
    </row>
    <row r="502" ht="15.75" customHeight="1">
      <c r="K502" s="242"/>
    </row>
    <row r="503" ht="15.75" customHeight="1">
      <c r="K503" s="242"/>
    </row>
    <row r="504" ht="15.75" customHeight="1">
      <c r="K504" s="242"/>
    </row>
    <row r="505" ht="15.75" customHeight="1">
      <c r="K505" s="242"/>
    </row>
    <row r="506" ht="15.75" customHeight="1">
      <c r="K506" s="242"/>
    </row>
    <row r="507" ht="15.75" customHeight="1">
      <c r="K507" s="242"/>
    </row>
    <row r="508" ht="15.75" customHeight="1">
      <c r="K508" s="242"/>
    </row>
    <row r="509" ht="15.75" customHeight="1">
      <c r="K509" s="242"/>
    </row>
    <row r="510" ht="15.75" customHeight="1">
      <c r="K510" s="242"/>
    </row>
    <row r="511" ht="15.75" customHeight="1">
      <c r="K511" s="242"/>
    </row>
    <row r="512" ht="15.75" customHeight="1">
      <c r="K512" s="242"/>
    </row>
    <row r="513" ht="15.75" customHeight="1">
      <c r="K513" s="242"/>
    </row>
    <row r="514" ht="15.75" customHeight="1">
      <c r="K514" s="242"/>
    </row>
    <row r="515" ht="15.75" customHeight="1">
      <c r="K515" s="242"/>
    </row>
    <row r="516" ht="15.75" customHeight="1">
      <c r="K516" s="242"/>
    </row>
    <row r="517" ht="15.75" customHeight="1">
      <c r="K517" s="242"/>
    </row>
    <row r="518" ht="15.75" customHeight="1">
      <c r="K518" s="242"/>
    </row>
    <row r="519" ht="15.75" customHeight="1">
      <c r="K519" s="242"/>
    </row>
    <row r="520" ht="15.75" customHeight="1">
      <c r="K520" s="242"/>
    </row>
    <row r="521" ht="15.75" customHeight="1">
      <c r="K521" s="242"/>
    </row>
    <row r="522" ht="15.75" customHeight="1">
      <c r="K522" s="242"/>
    </row>
    <row r="523" ht="15.75" customHeight="1">
      <c r="K523" s="242"/>
    </row>
    <row r="524" ht="15.75" customHeight="1">
      <c r="K524" s="242"/>
    </row>
    <row r="525" ht="15.75" customHeight="1">
      <c r="K525" s="242"/>
    </row>
    <row r="526" ht="15.75" customHeight="1">
      <c r="K526" s="242"/>
    </row>
    <row r="527" ht="15.75" customHeight="1">
      <c r="K527" s="242"/>
    </row>
    <row r="528" ht="15.75" customHeight="1">
      <c r="K528" s="242"/>
    </row>
    <row r="529" ht="15.75" customHeight="1">
      <c r="K529" s="242"/>
    </row>
    <row r="530" ht="15.75" customHeight="1">
      <c r="K530" s="242"/>
    </row>
    <row r="531" ht="15.75" customHeight="1">
      <c r="K531" s="242"/>
    </row>
    <row r="532" ht="15.75" customHeight="1">
      <c r="K532" s="242"/>
    </row>
    <row r="533" ht="15.75" customHeight="1">
      <c r="K533" s="242"/>
    </row>
    <row r="534" ht="15.75" customHeight="1">
      <c r="K534" s="242"/>
    </row>
    <row r="535" ht="15.75" customHeight="1">
      <c r="K535" s="242"/>
    </row>
    <row r="536" ht="15.75" customHeight="1">
      <c r="K536" s="242"/>
    </row>
    <row r="537" ht="15.75" customHeight="1">
      <c r="K537" s="242"/>
    </row>
    <row r="538" ht="15.75" customHeight="1">
      <c r="K538" s="242"/>
    </row>
    <row r="539" ht="15.75" customHeight="1">
      <c r="K539" s="242"/>
    </row>
    <row r="540" ht="15.75" customHeight="1">
      <c r="K540" s="242"/>
    </row>
    <row r="541" ht="15.75" customHeight="1">
      <c r="K541" s="242"/>
    </row>
    <row r="542" ht="15.75" customHeight="1">
      <c r="K542" s="242"/>
    </row>
    <row r="543" ht="15.75" customHeight="1">
      <c r="K543" s="242"/>
    </row>
    <row r="544" ht="15.75" customHeight="1">
      <c r="K544" s="242"/>
    </row>
    <row r="545" ht="15.75" customHeight="1">
      <c r="K545" s="242"/>
    </row>
    <row r="546" ht="15.75" customHeight="1">
      <c r="K546" s="242"/>
    </row>
    <row r="547" ht="15.75" customHeight="1">
      <c r="K547" s="242"/>
    </row>
    <row r="548" ht="15.75" customHeight="1">
      <c r="K548" s="242"/>
    </row>
    <row r="549" ht="15.75" customHeight="1">
      <c r="K549" s="242"/>
    </row>
    <row r="550" ht="15.75" customHeight="1">
      <c r="K550" s="242"/>
    </row>
    <row r="551" ht="15.75" customHeight="1">
      <c r="K551" s="242"/>
    </row>
    <row r="552" ht="15.75" customHeight="1">
      <c r="K552" s="242"/>
    </row>
    <row r="553" ht="15.75" customHeight="1">
      <c r="K553" s="242"/>
    </row>
    <row r="554" ht="15.75" customHeight="1">
      <c r="K554" s="242"/>
    </row>
    <row r="555" ht="15.75" customHeight="1">
      <c r="K555" s="242"/>
    </row>
    <row r="556" ht="15.75" customHeight="1">
      <c r="K556" s="242"/>
    </row>
    <row r="557" ht="15.75" customHeight="1">
      <c r="K557" s="242"/>
    </row>
    <row r="558" ht="15.75" customHeight="1">
      <c r="K558" s="242"/>
    </row>
    <row r="559" ht="15.75" customHeight="1">
      <c r="K559" s="242"/>
    </row>
    <row r="560" ht="15.75" customHeight="1">
      <c r="K560" s="242"/>
    </row>
    <row r="561" ht="15.75" customHeight="1">
      <c r="K561" s="242"/>
    </row>
    <row r="562" ht="15.75" customHeight="1">
      <c r="K562" s="242"/>
    </row>
    <row r="563" ht="15.75" customHeight="1">
      <c r="K563" s="242"/>
    </row>
    <row r="564" ht="15.75" customHeight="1">
      <c r="K564" s="242"/>
    </row>
    <row r="565" ht="15.75" customHeight="1">
      <c r="K565" s="242"/>
    </row>
    <row r="566" ht="15.75" customHeight="1">
      <c r="K566" s="242"/>
    </row>
    <row r="567" ht="15.75" customHeight="1">
      <c r="K567" s="242"/>
    </row>
    <row r="568" ht="15.75" customHeight="1">
      <c r="K568" s="242"/>
    </row>
    <row r="569" ht="15.75" customHeight="1">
      <c r="K569" s="242"/>
    </row>
    <row r="570" ht="15.75" customHeight="1">
      <c r="K570" s="242"/>
    </row>
    <row r="571" ht="15.75" customHeight="1">
      <c r="K571" s="242"/>
    </row>
    <row r="572" ht="15.75" customHeight="1">
      <c r="K572" s="242"/>
    </row>
    <row r="573" ht="15.75" customHeight="1">
      <c r="K573" s="242"/>
    </row>
    <row r="574" ht="15.75" customHeight="1">
      <c r="K574" s="242"/>
    </row>
    <row r="575" ht="15.75" customHeight="1">
      <c r="K575" s="242"/>
    </row>
    <row r="576" ht="15.75" customHeight="1">
      <c r="K576" s="242"/>
    </row>
    <row r="577" ht="15.75" customHeight="1">
      <c r="K577" s="242"/>
    </row>
    <row r="578" ht="15.75" customHeight="1">
      <c r="K578" s="242"/>
    </row>
    <row r="579" ht="15.75" customHeight="1">
      <c r="K579" s="242"/>
    </row>
    <row r="580" ht="15.75" customHeight="1">
      <c r="K580" s="242"/>
    </row>
    <row r="581" ht="15.75" customHeight="1">
      <c r="K581" s="242"/>
    </row>
    <row r="582" ht="15.75" customHeight="1">
      <c r="K582" s="242"/>
    </row>
    <row r="583" ht="15.75" customHeight="1">
      <c r="K583" s="242"/>
    </row>
    <row r="584" ht="15.75" customHeight="1">
      <c r="K584" s="242"/>
    </row>
    <row r="585" ht="15.75" customHeight="1">
      <c r="K585" s="242"/>
    </row>
    <row r="586" ht="15.75" customHeight="1">
      <c r="K586" s="242"/>
    </row>
    <row r="587" ht="15.75" customHeight="1">
      <c r="K587" s="242"/>
    </row>
    <row r="588" ht="15.75" customHeight="1">
      <c r="K588" s="242"/>
    </row>
    <row r="589" ht="15.75" customHeight="1">
      <c r="K589" s="242"/>
    </row>
    <row r="590" ht="15.75" customHeight="1">
      <c r="K590" s="242"/>
    </row>
    <row r="591" ht="15.75" customHeight="1">
      <c r="K591" s="242"/>
    </row>
    <row r="592" ht="15.75" customHeight="1">
      <c r="K592" s="242"/>
    </row>
    <row r="593" ht="15.75" customHeight="1">
      <c r="K593" s="242"/>
    </row>
    <row r="594" ht="15.75" customHeight="1">
      <c r="K594" s="242"/>
    </row>
    <row r="595" ht="15.75" customHeight="1">
      <c r="K595" s="242"/>
    </row>
    <row r="596" ht="15.75" customHeight="1">
      <c r="K596" s="242"/>
    </row>
    <row r="597" ht="15.75" customHeight="1">
      <c r="K597" s="242"/>
    </row>
    <row r="598" ht="15.75" customHeight="1">
      <c r="K598" s="242"/>
    </row>
    <row r="599" ht="15.75" customHeight="1">
      <c r="K599" s="242"/>
    </row>
    <row r="600" ht="15.75" customHeight="1">
      <c r="K600" s="242"/>
    </row>
    <row r="601" ht="15.75" customHeight="1">
      <c r="K601" s="242"/>
    </row>
    <row r="602" ht="15.75" customHeight="1">
      <c r="K602" s="242"/>
    </row>
    <row r="603" ht="15.75" customHeight="1">
      <c r="K603" s="242"/>
    </row>
    <row r="604" ht="15.75" customHeight="1">
      <c r="K604" s="242"/>
    </row>
    <row r="605" ht="15.75" customHeight="1">
      <c r="K605" s="242"/>
    </row>
    <row r="606" ht="15.75" customHeight="1">
      <c r="K606" s="242"/>
    </row>
    <row r="607" ht="15.75" customHeight="1">
      <c r="K607" s="242"/>
    </row>
    <row r="608" ht="15.75" customHeight="1">
      <c r="K608" s="242"/>
    </row>
    <row r="609" ht="15.75" customHeight="1">
      <c r="K609" s="242"/>
    </row>
    <row r="610" ht="15.75" customHeight="1">
      <c r="K610" s="242"/>
    </row>
    <row r="611" ht="15.75" customHeight="1">
      <c r="K611" s="242"/>
    </row>
    <row r="612" ht="15.75" customHeight="1">
      <c r="K612" s="242"/>
    </row>
    <row r="613" ht="15.75" customHeight="1">
      <c r="K613" s="242"/>
    </row>
    <row r="614" ht="15.75" customHeight="1">
      <c r="K614" s="242"/>
    </row>
    <row r="615" ht="15.75" customHeight="1">
      <c r="K615" s="242"/>
    </row>
    <row r="616" ht="15.75" customHeight="1">
      <c r="K616" s="242"/>
    </row>
    <row r="617" ht="15.75" customHeight="1">
      <c r="K617" s="242"/>
    </row>
    <row r="618" ht="15.75" customHeight="1">
      <c r="K618" s="242"/>
    </row>
    <row r="619" ht="15.75" customHeight="1">
      <c r="K619" s="242"/>
    </row>
    <row r="620" ht="15.75" customHeight="1">
      <c r="K620" s="242"/>
    </row>
    <row r="621" ht="15.75" customHeight="1">
      <c r="K621" s="242"/>
    </row>
    <row r="622" ht="15.75" customHeight="1">
      <c r="K622" s="242"/>
    </row>
    <row r="623" ht="15.75" customHeight="1">
      <c r="K623" s="242"/>
    </row>
    <row r="624" ht="15.75" customHeight="1">
      <c r="K624" s="242"/>
    </row>
    <row r="625" ht="15.75" customHeight="1">
      <c r="K625" s="242"/>
    </row>
    <row r="626" ht="15.75" customHeight="1">
      <c r="K626" s="242"/>
    </row>
    <row r="627" ht="15.75" customHeight="1">
      <c r="K627" s="242"/>
    </row>
    <row r="628" ht="15.75" customHeight="1">
      <c r="K628" s="242"/>
    </row>
    <row r="629" ht="15.75" customHeight="1">
      <c r="K629" s="242"/>
    </row>
    <row r="630" ht="15.75" customHeight="1">
      <c r="K630" s="242"/>
    </row>
    <row r="631" ht="15.75" customHeight="1">
      <c r="K631" s="242"/>
    </row>
    <row r="632" ht="15.75" customHeight="1">
      <c r="K632" s="242"/>
    </row>
    <row r="633" ht="15.75" customHeight="1">
      <c r="K633" s="242"/>
    </row>
    <row r="634" ht="15.75" customHeight="1">
      <c r="K634" s="242"/>
    </row>
    <row r="635" ht="15.75" customHeight="1">
      <c r="K635" s="242"/>
    </row>
    <row r="636" ht="15.75" customHeight="1">
      <c r="K636" s="242"/>
    </row>
    <row r="637" ht="15.75" customHeight="1">
      <c r="K637" s="242"/>
    </row>
    <row r="638" ht="15.75" customHeight="1">
      <c r="K638" s="242"/>
    </row>
    <row r="639" ht="15.75" customHeight="1">
      <c r="K639" s="242"/>
    </row>
    <row r="640" ht="15.75" customHeight="1">
      <c r="K640" s="242"/>
    </row>
    <row r="641" ht="15.75" customHeight="1">
      <c r="K641" s="242"/>
    </row>
    <row r="642" ht="15.75" customHeight="1">
      <c r="K642" s="242"/>
    </row>
    <row r="643" ht="15.75" customHeight="1">
      <c r="K643" s="242"/>
    </row>
    <row r="644" ht="15.75" customHeight="1">
      <c r="K644" s="242"/>
    </row>
    <row r="645" ht="15.75" customHeight="1">
      <c r="K645" s="242"/>
    </row>
    <row r="646" ht="15.75" customHeight="1">
      <c r="K646" s="242"/>
    </row>
    <row r="647" ht="15.75" customHeight="1">
      <c r="K647" s="242"/>
    </row>
    <row r="648" ht="15.75" customHeight="1">
      <c r="K648" s="242"/>
    </row>
    <row r="649" ht="15.75" customHeight="1">
      <c r="K649" s="242"/>
    </row>
    <row r="650" ht="15.75" customHeight="1">
      <c r="K650" s="242"/>
    </row>
    <row r="651" ht="15.75" customHeight="1">
      <c r="K651" s="242"/>
    </row>
    <row r="652" ht="15.75" customHeight="1">
      <c r="K652" s="242"/>
    </row>
    <row r="653" ht="15.75" customHeight="1">
      <c r="K653" s="242"/>
    </row>
    <row r="654" ht="15.75" customHeight="1">
      <c r="K654" s="242"/>
    </row>
    <row r="655" ht="15.75" customHeight="1">
      <c r="K655" s="242"/>
    </row>
    <row r="656" ht="15.75" customHeight="1">
      <c r="K656" s="242"/>
    </row>
    <row r="657" ht="15.75" customHeight="1">
      <c r="K657" s="242"/>
    </row>
    <row r="658" ht="15.75" customHeight="1">
      <c r="K658" s="242"/>
    </row>
    <row r="659" ht="15.75" customHeight="1">
      <c r="K659" s="242"/>
    </row>
    <row r="660" ht="15.75" customHeight="1">
      <c r="K660" s="242"/>
    </row>
    <row r="661" ht="15.75" customHeight="1">
      <c r="K661" s="242"/>
    </row>
    <row r="662" ht="15.75" customHeight="1">
      <c r="K662" s="242"/>
    </row>
    <row r="663" ht="15.75" customHeight="1">
      <c r="K663" s="242"/>
    </row>
    <row r="664" ht="15.75" customHeight="1">
      <c r="K664" s="242"/>
    </row>
    <row r="665" ht="15.75" customHeight="1">
      <c r="K665" s="242"/>
    </row>
    <row r="666" ht="15.75" customHeight="1">
      <c r="K666" s="242"/>
    </row>
    <row r="667" ht="15.75" customHeight="1">
      <c r="K667" s="242"/>
    </row>
    <row r="668" ht="15.75" customHeight="1">
      <c r="K668" s="242"/>
    </row>
    <row r="669" ht="15.75" customHeight="1">
      <c r="K669" s="242"/>
    </row>
    <row r="670" ht="15.75" customHeight="1">
      <c r="K670" s="242"/>
    </row>
    <row r="671" ht="15.75" customHeight="1">
      <c r="K671" s="242"/>
    </row>
    <row r="672" ht="15.75" customHeight="1">
      <c r="K672" s="242"/>
    </row>
    <row r="673" ht="15.75" customHeight="1">
      <c r="K673" s="242"/>
    </row>
    <row r="674" ht="15.75" customHeight="1">
      <c r="K674" s="242"/>
    </row>
    <row r="675" ht="15.75" customHeight="1">
      <c r="K675" s="242"/>
    </row>
    <row r="676" ht="15.75" customHeight="1">
      <c r="K676" s="242"/>
    </row>
    <row r="677" ht="15.75" customHeight="1">
      <c r="K677" s="242"/>
    </row>
    <row r="678" ht="15.75" customHeight="1">
      <c r="K678" s="242"/>
    </row>
    <row r="679" ht="15.75" customHeight="1">
      <c r="K679" s="242"/>
    </row>
    <row r="680" ht="15.75" customHeight="1">
      <c r="K680" s="242"/>
    </row>
    <row r="681" ht="15.75" customHeight="1">
      <c r="K681" s="242"/>
    </row>
    <row r="682" ht="15.75" customHeight="1">
      <c r="K682" s="242"/>
    </row>
    <row r="683" ht="15.75" customHeight="1">
      <c r="K683" s="242"/>
    </row>
    <row r="684" ht="15.75" customHeight="1">
      <c r="K684" s="242"/>
    </row>
    <row r="685" ht="15.75" customHeight="1">
      <c r="K685" s="242"/>
    </row>
    <row r="686" ht="15.75" customHeight="1">
      <c r="K686" s="242"/>
    </row>
    <row r="687" ht="15.75" customHeight="1">
      <c r="K687" s="242"/>
    </row>
    <row r="688" ht="15.75" customHeight="1">
      <c r="K688" s="242"/>
    </row>
    <row r="689" ht="15.75" customHeight="1">
      <c r="K689" s="242"/>
    </row>
    <row r="690" ht="15.75" customHeight="1">
      <c r="K690" s="242"/>
    </row>
    <row r="691" ht="15.75" customHeight="1">
      <c r="K691" s="242"/>
    </row>
    <row r="692" ht="15.75" customHeight="1">
      <c r="K692" s="242"/>
    </row>
    <row r="693" ht="15.75" customHeight="1">
      <c r="K693" s="242"/>
    </row>
    <row r="694" ht="15.75" customHeight="1">
      <c r="K694" s="242"/>
    </row>
    <row r="695" ht="15.75" customHeight="1">
      <c r="K695" s="242"/>
    </row>
    <row r="696" ht="15.75" customHeight="1">
      <c r="K696" s="242"/>
    </row>
    <row r="697" ht="15.75" customHeight="1">
      <c r="K697" s="242"/>
    </row>
    <row r="698" ht="15.75" customHeight="1">
      <c r="K698" s="242"/>
    </row>
    <row r="699" ht="15.75" customHeight="1">
      <c r="K699" s="242"/>
    </row>
    <row r="700" ht="15.75" customHeight="1">
      <c r="K700" s="242"/>
    </row>
    <row r="701" ht="15.75" customHeight="1">
      <c r="K701" s="242"/>
    </row>
    <row r="702" ht="15.75" customHeight="1">
      <c r="K702" s="242"/>
    </row>
    <row r="703" ht="15.75" customHeight="1">
      <c r="K703" s="242"/>
    </row>
    <row r="704" ht="15.75" customHeight="1">
      <c r="K704" s="242"/>
    </row>
    <row r="705" ht="15.75" customHeight="1">
      <c r="K705" s="242"/>
    </row>
    <row r="706" ht="15.75" customHeight="1">
      <c r="K706" s="242"/>
    </row>
    <row r="707" ht="15.75" customHeight="1">
      <c r="K707" s="242"/>
    </row>
    <row r="708" ht="15.75" customHeight="1">
      <c r="K708" s="242"/>
    </row>
    <row r="709" ht="15.75" customHeight="1">
      <c r="K709" s="242"/>
    </row>
    <row r="710" ht="15.75" customHeight="1">
      <c r="K710" s="242"/>
    </row>
    <row r="711" ht="15.75" customHeight="1">
      <c r="K711" s="242"/>
    </row>
    <row r="712" ht="15.75" customHeight="1">
      <c r="K712" s="242"/>
    </row>
    <row r="713" ht="15.75" customHeight="1">
      <c r="K713" s="242"/>
    </row>
    <row r="714" ht="15.75" customHeight="1">
      <c r="K714" s="242"/>
    </row>
    <row r="715" ht="15.75" customHeight="1">
      <c r="K715" s="242"/>
    </row>
    <row r="716" ht="15.75" customHeight="1">
      <c r="K716" s="242"/>
    </row>
    <row r="717" ht="15.75" customHeight="1">
      <c r="K717" s="242"/>
    </row>
    <row r="718" ht="15.75" customHeight="1">
      <c r="K718" s="242"/>
    </row>
    <row r="719" ht="15.75" customHeight="1">
      <c r="K719" s="242"/>
    </row>
    <row r="720" ht="15.75" customHeight="1">
      <c r="K720" s="242"/>
    </row>
    <row r="721" ht="15.75" customHeight="1">
      <c r="K721" s="242"/>
    </row>
    <row r="722" ht="15.75" customHeight="1">
      <c r="K722" s="242"/>
    </row>
    <row r="723" ht="15.75" customHeight="1">
      <c r="K723" s="242"/>
    </row>
    <row r="724" ht="15.75" customHeight="1">
      <c r="K724" s="242"/>
    </row>
    <row r="725" ht="15.75" customHeight="1">
      <c r="K725" s="242"/>
    </row>
    <row r="726" ht="15.75" customHeight="1">
      <c r="K726" s="242"/>
    </row>
    <row r="727" ht="15.75" customHeight="1">
      <c r="K727" s="242"/>
    </row>
    <row r="728" ht="15.75" customHeight="1">
      <c r="K728" s="242"/>
    </row>
    <row r="729" ht="15.75" customHeight="1">
      <c r="K729" s="242"/>
    </row>
    <row r="730" ht="15.75" customHeight="1">
      <c r="K730" s="242"/>
    </row>
    <row r="731" ht="15.75" customHeight="1">
      <c r="K731" s="242"/>
    </row>
    <row r="732" ht="15.75" customHeight="1">
      <c r="K732" s="242"/>
    </row>
    <row r="733" ht="15.75" customHeight="1">
      <c r="K733" s="242"/>
    </row>
    <row r="734" ht="15.75" customHeight="1">
      <c r="K734" s="242"/>
    </row>
    <row r="735" ht="15.75" customHeight="1">
      <c r="K735" s="242"/>
    </row>
    <row r="736" ht="15.75" customHeight="1">
      <c r="K736" s="242"/>
    </row>
    <row r="737" ht="15.75" customHeight="1">
      <c r="K737" s="242"/>
    </row>
    <row r="738" ht="15.75" customHeight="1">
      <c r="K738" s="242"/>
    </row>
    <row r="739" ht="15.75" customHeight="1">
      <c r="K739" s="242"/>
    </row>
    <row r="740" ht="15.75" customHeight="1">
      <c r="K740" s="242"/>
    </row>
    <row r="741" ht="15.75" customHeight="1">
      <c r="K741" s="242"/>
    </row>
    <row r="742" ht="15.75" customHeight="1">
      <c r="K742" s="242"/>
    </row>
    <row r="743" ht="15.75" customHeight="1">
      <c r="K743" s="242"/>
    </row>
    <row r="744" ht="15.75" customHeight="1">
      <c r="K744" s="242"/>
    </row>
    <row r="745" ht="15.75" customHeight="1">
      <c r="K745" s="242"/>
    </row>
    <row r="746" ht="15.75" customHeight="1">
      <c r="K746" s="242"/>
    </row>
    <row r="747" ht="15.75" customHeight="1">
      <c r="K747" s="242"/>
    </row>
    <row r="748" ht="15.75" customHeight="1">
      <c r="K748" s="242"/>
    </row>
    <row r="749" ht="15.75" customHeight="1">
      <c r="K749" s="242"/>
    </row>
    <row r="750" ht="15.75" customHeight="1">
      <c r="K750" s="242"/>
    </row>
    <row r="751" ht="15.75" customHeight="1">
      <c r="K751" s="242"/>
    </row>
    <row r="752" ht="15.75" customHeight="1">
      <c r="K752" s="242"/>
    </row>
    <row r="753" ht="15.75" customHeight="1">
      <c r="K753" s="242"/>
    </row>
    <row r="754" ht="15.75" customHeight="1">
      <c r="K754" s="242"/>
    </row>
    <row r="755" ht="15.75" customHeight="1">
      <c r="K755" s="242"/>
    </row>
    <row r="756" ht="15.75" customHeight="1">
      <c r="K756" s="242"/>
    </row>
    <row r="757" ht="15.75" customHeight="1">
      <c r="K757" s="242"/>
    </row>
    <row r="758" ht="15.75" customHeight="1">
      <c r="K758" s="242"/>
    </row>
    <row r="759" ht="15.75" customHeight="1">
      <c r="K759" s="242"/>
    </row>
    <row r="760" ht="15.75" customHeight="1">
      <c r="K760" s="242"/>
    </row>
    <row r="761" ht="15.75" customHeight="1">
      <c r="K761" s="242"/>
    </row>
    <row r="762" ht="15.75" customHeight="1">
      <c r="K762" s="242"/>
    </row>
    <row r="763" ht="15.75" customHeight="1">
      <c r="K763" s="242"/>
    </row>
    <row r="764" ht="15.75" customHeight="1">
      <c r="K764" s="242"/>
    </row>
    <row r="765" ht="15.75" customHeight="1">
      <c r="K765" s="242"/>
    </row>
    <row r="766" ht="15.75" customHeight="1">
      <c r="K766" s="242"/>
    </row>
    <row r="767" ht="15.75" customHeight="1">
      <c r="K767" s="242"/>
    </row>
    <row r="768" ht="15.75" customHeight="1">
      <c r="K768" s="242"/>
    </row>
    <row r="769" ht="15.75" customHeight="1">
      <c r="K769" s="242"/>
    </row>
    <row r="770" ht="15.75" customHeight="1">
      <c r="K770" s="242"/>
    </row>
    <row r="771" ht="15.75" customHeight="1">
      <c r="K771" s="242"/>
    </row>
    <row r="772" ht="15.75" customHeight="1">
      <c r="K772" s="242"/>
    </row>
    <row r="773" ht="15.75" customHeight="1">
      <c r="K773" s="242"/>
    </row>
    <row r="774" ht="15.75" customHeight="1">
      <c r="K774" s="242"/>
    </row>
    <row r="775" ht="15.75" customHeight="1">
      <c r="K775" s="242"/>
    </row>
    <row r="776" ht="15.75" customHeight="1">
      <c r="K776" s="242"/>
    </row>
    <row r="777" ht="15.75" customHeight="1">
      <c r="K777" s="242"/>
    </row>
    <row r="778" ht="15.75" customHeight="1">
      <c r="K778" s="242"/>
    </row>
    <row r="779" ht="15.75" customHeight="1">
      <c r="K779" s="242"/>
    </row>
    <row r="780" ht="15.75" customHeight="1">
      <c r="K780" s="242"/>
    </row>
    <row r="781" ht="15.75" customHeight="1">
      <c r="K781" s="242"/>
    </row>
    <row r="782" ht="15.75" customHeight="1">
      <c r="K782" s="242"/>
    </row>
    <row r="783" ht="15.75" customHeight="1">
      <c r="K783" s="242"/>
    </row>
    <row r="784" ht="15.75" customHeight="1">
      <c r="K784" s="242"/>
    </row>
    <row r="785" ht="15.75" customHeight="1">
      <c r="K785" s="242"/>
    </row>
    <row r="786" ht="15.75" customHeight="1">
      <c r="K786" s="242"/>
    </row>
    <row r="787" ht="15.75" customHeight="1">
      <c r="K787" s="242"/>
    </row>
    <row r="788" ht="15.75" customHeight="1">
      <c r="K788" s="242"/>
    </row>
    <row r="789" ht="15.75" customHeight="1">
      <c r="K789" s="242"/>
    </row>
    <row r="790" ht="15.75" customHeight="1">
      <c r="K790" s="242"/>
    </row>
    <row r="791" ht="15.75" customHeight="1">
      <c r="K791" s="242"/>
    </row>
    <row r="792" ht="15.75" customHeight="1">
      <c r="K792" s="242"/>
    </row>
    <row r="793" ht="15.75" customHeight="1">
      <c r="K793" s="242"/>
    </row>
    <row r="794" ht="15.75" customHeight="1">
      <c r="K794" s="242"/>
    </row>
    <row r="795" ht="15.75" customHeight="1">
      <c r="K795" s="242"/>
    </row>
    <row r="796" ht="15.75" customHeight="1">
      <c r="K796" s="242"/>
    </row>
    <row r="797" ht="15.75" customHeight="1">
      <c r="K797" s="242"/>
    </row>
    <row r="798" ht="15.75" customHeight="1">
      <c r="K798" s="242"/>
    </row>
    <row r="799" ht="15.75" customHeight="1">
      <c r="K799" s="242"/>
    </row>
    <row r="800" ht="15.75" customHeight="1">
      <c r="K800" s="242"/>
    </row>
    <row r="801" ht="15.75" customHeight="1">
      <c r="K801" s="242"/>
    </row>
    <row r="802" ht="15.75" customHeight="1">
      <c r="K802" s="242"/>
    </row>
    <row r="803" ht="15.75" customHeight="1">
      <c r="K803" s="242"/>
    </row>
    <row r="804" ht="15.75" customHeight="1">
      <c r="K804" s="242"/>
    </row>
    <row r="805" ht="15.75" customHeight="1">
      <c r="K805" s="242"/>
    </row>
    <row r="806" ht="15.75" customHeight="1">
      <c r="K806" s="242"/>
    </row>
    <row r="807" ht="15.75" customHeight="1">
      <c r="K807" s="242"/>
    </row>
    <row r="808" ht="15.75" customHeight="1">
      <c r="K808" s="242"/>
    </row>
    <row r="809" ht="15.75" customHeight="1">
      <c r="K809" s="242"/>
    </row>
    <row r="810" ht="15.75" customHeight="1">
      <c r="K810" s="242"/>
    </row>
    <row r="811" ht="15.75" customHeight="1">
      <c r="K811" s="242"/>
    </row>
    <row r="812" ht="15.75" customHeight="1">
      <c r="K812" s="242"/>
    </row>
    <row r="813" ht="15.75" customHeight="1">
      <c r="K813" s="242"/>
    </row>
    <row r="814" ht="15.75" customHeight="1">
      <c r="K814" s="242"/>
    </row>
    <row r="815" ht="15.75" customHeight="1">
      <c r="K815" s="242"/>
    </row>
    <row r="816" ht="15.75" customHeight="1">
      <c r="K816" s="242"/>
    </row>
    <row r="817" ht="15.75" customHeight="1">
      <c r="K817" s="242"/>
    </row>
    <row r="818" ht="15.75" customHeight="1">
      <c r="K818" s="242"/>
    </row>
    <row r="819" ht="15.75" customHeight="1">
      <c r="K819" s="242"/>
    </row>
    <row r="820" ht="15.75" customHeight="1">
      <c r="K820" s="242"/>
    </row>
    <row r="821" ht="15.75" customHeight="1">
      <c r="K821" s="242"/>
    </row>
    <row r="822" ht="15.75" customHeight="1">
      <c r="K822" s="242"/>
    </row>
    <row r="823" ht="15.75" customHeight="1">
      <c r="K823" s="242"/>
    </row>
    <row r="824" ht="15.75" customHeight="1">
      <c r="K824" s="242"/>
    </row>
    <row r="825" ht="15.75" customHeight="1">
      <c r="K825" s="242"/>
    </row>
    <row r="826" ht="15.75" customHeight="1">
      <c r="K826" s="242"/>
    </row>
    <row r="827" ht="15.75" customHeight="1">
      <c r="K827" s="242"/>
    </row>
    <row r="828" ht="15.75" customHeight="1">
      <c r="K828" s="242"/>
    </row>
    <row r="829" ht="15.75" customHeight="1">
      <c r="K829" s="242"/>
    </row>
    <row r="830" ht="15.75" customHeight="1">
      <c r="K830" s="242"/>
    </row>
    <row r="831" ht="15.75" customHeight="1">
      <c r="K831" s="242"/>
    </row>
    <row r="832" ht="15.75" customHeight="1">
      <c r="K832" s="242"/>
    </row>
    <row r="833" ht="15.75" customHeight="1">
      <c r="K833" s="242"/>
    </row>
    <row r="834" ht="15.75" customHeight="1">
      <c r="K834" s="242"/>
    </row>
    <row r="835" ht="15.75" customHeight="1">
      <c r="K835" s="242"/>
    </row>
    <row r="836" ht="15.75" customHeight="1">
      <c r="K836" s="242"/>
    </row>
    <row r="837" ht="15.75" customHeight="1">
      <c r="K837" s="242"/>
    </row>
    <row r="838" ht="15.75" customHeight="1">
      <c r="K838" s="242"/>
    </row>
    <row r="839" ht="15.75" customHeight="1">
      <c r="K839" s="242"/>
    </row>
    <row r="840" ht="15.75" customHeight="1">
      <c r="K840" s="242"/>
    </row>
    <row r="841" ht="15.75" customHeight="1">
      <c r="K841" s="242"/>
    </row>
    <row r="842" ht="15.75" customHeight="1">
      <c r="K842" s="242"/>
    </row>
    <row r="843" ht="15.75" customHeight="1">
      <c r="K843" s="242"/>
    </row>
    <row r="844" ht="15.75" customHeight="1">
      <c r="K844" s="242"/>
    </row>
    <row r="845" ht="15.75" customHeight="1">
      <c r="K845" s="242"/>
    </row>
    <row r="846" ht="15.75" customHeight="1">
      <c r="K846" s="242"/>
    </row>
    <row r="847" ht="15.75" customHeight="1">
      <c r="K847" s="242"/>
    </row>
    <row r="848" ht="15.75" customHeight="1">
      <c r="K848" s="242"/>
    </row>
    <row r="849" ht="15.75" customHeight="1">
      <c r="K849" s="242"/>
    </row>
    <row r="850" ht="15.75" customHeight="1">
      <c r="K850" s="242"/>
    </row>
    <row r="851" ht="15.75" customHeight="1">
      <c r="K851" s="242"/>
    </row>
    <row r="852" ht="15.75" customHeight="1">
      <c r="K852" s="242"/>
    </row>
    <row r="853" ht="15.75" customHeight="1">
      <c r="K853" s="242"/>
    </row>
    <row r="854" ht="15.75" customHeight="1">
      <c r="K854" s="242"/>
    </row>
    <row r="855" ht="15.75" customHeight="1">
      <c r="K855" s="242"/>
    </row>
    <row r="856" ht="15.75" customHeight="1">
      <c r="K856" s="242"/>
    </row>
    <row r="857" ht="15.75" customHeight="1">
      <c r="K857" s="242"/>
    </row>
    <row r="858" ht="15.75" customHeight="1">
      <c r="K858" s="242"/>
    </row>
    <row r="859" ht="15.75" customHeight="1">
      <c r="K859" s="242"/>
    </row>
    <row r="860" ht="15.75" customHeight="1">
      <c r="K860" s="242"/>
    </row>
    <row r="861" ht="15.75" customHeight="1">
      <c r="K861" s="242"/>
    </row>
    <row r="862" ht="15.75" customHeight="1">
      <c r="K862" s="242"/>
    </row>
    <row r="863" ht="15.75" customHeight="1">
      <c r="K863" s="242"/>
    </row>
    <row r="864" ht="15.75" customHeight="1">
      <c r="K864" s="242"/>
    </row>
    <row r="865" ht="15.75" customHeight="1">
      <c r="K865" s="242"/>
    </row>
    <row r="866" ht="15.75" customHeight="1">
      <c r="K866" s="242"/>
    </row>
    <row r="867" ht="15.75" customHeight="1">
      <c r="K867" s="242"/>
    </row>
    <row r="868" ht="15.75" customHeight="1">
      <c r="K868" s="242"/>
    </row>
    <row r="869" ht="15.75" customHeight="1">
      <c r="K869" s="242"/>
    </row>
    <row r="870" ht="15.75" customHeight="1">
      <c r="K870" s="242"/>
    </row>
    <row r="871" ht="15.75" customHeight="1">
      <c r="K871" s="242"/>
    </row>
    <row r="872" ht="15.75" customHeight="1">
      <c r="K872" s="242"/>
    </row>
    <row r="873" ht="15.75" customHeight="1">
      <c r="K873" s="242"/>
    </row>
    <row r="874" ht="15.75" customHeight="1">
      <c r="K874" s="242"/>
    </row>
    <row r="875" ht="15.75" customHeight="1">
      <c r="K875" s="242"/>
    </row>
    <row r="876" ht="15.75" customHeight="1">
      <c r="K876" s="242"/>
    </row>
    <row r="877" ht="15.75" customHeight="1">
      <c r="K877" s="242"/>
    </row>
    <row r="878" ht="15.75" customHeight="1">
      <c r="K878" s="242"/>
    </row>
    <row r="879" ht="15.75" customHeight="1">
      <c r="K879" s="242"/>
    </row>
    <row r="880" ht="15.75" customHeight="1">
      <c r="K880" s="242"/>
    </row>
    <row r="881" ht="15.75" customHeight="1">
      <c r="K881" s="242"/>
    </row>
    <row r="882" ht="15.75" customHeight="1">
      <c r="K882" s="242"/>
    </row>
    <row r="883" ht="15.75" customHeight="1">
      <c r="K883" s="242"/>
    </row>
    <row r="884" ht="15.75" customHeight="1">
      <c r="K884" s="242"/>
    </row>
    <row r="885" ht="15.75" customHeight="1">
      <c r="K885" s="242"/>
    </row>
    <row r="886" ht="15.75" customHeight="1">
      <c r="K886" s="242"/>
    </row>
    <row r="887" ht="15.75" customHeight="1">
      <c r="K887" s="242"/>
    </row>
    <row r="888" ht="15.75" customHeight="1">
      <c r="K888" s="242"/>
    </row>
    <row r="889" ht="15.75" customHeight="1">
      <c r="K889" s="242"/>
    </row>
    <row r="890" ht="15.75" customHeight="1">
      <c r="K890" s="242"/>
    </row>
    <row r="891" ht="15.75" customHeight="1">
      <c r="K891" s="242"/>
    </row>
    <row r="892" ht="15.75" customHeight="1">
      <c r="K892" s="242"/>
    </row>
    <row r="893" ht="15.75" customHeight="1">
      <c r="K893" s="242"/>
    </row>
    <row r="894" ht="15.75" customHeight="1">
      <c r="K894" s="242"/>
    </row>
    <row r="895" ht="15.75" customHeight="1">
      <c r="K895" s="242"/>
    </row>
    <row r="896" ht="15.75" customHeight="1">
      <c r="K896" s="242"/>
    </row>
    <row r="897" ht="15.75" customHeight="1">
      <c r="K897" s="242"/>
    </row>
    <row r="898" ht="15.75" customHeight="1">
      <c r="K898" s="242"/>
    </row>
    <row r="899" ht="15.75" customHeight="1">
      <c r="K899" s="242"/>
    </row>
    <row r="900" ht="15.75" customHeight="1">
      <c r="K900" s="242"/>
    </row>
    <row r="901" ht="15.75" customHeight="1">
      <c r="K901" s="242"/>
    </row>
    <row r="902" ht="15.75" customHeight="1">
      <c r="K902" s="242"/>
    </row>
    <row r="903" ht="15.75" customHeight="1">
      <c r="K903" s="242"/>
    </row>
    <row r="904" ht="15.75" customHeight="1">
      <c r="K904" s="242"/>
    </row>
    <row r="905" ht="15.75" customHeight="1">
      <c r="K905" s="242"/>
    </row>
    <row r="906" ht="15.75" customHeight="1">
      <c r="K906" s="242"/>
    </row>
    <row r="907" ht="15.75" customHeight="1">
      <c r="K907" s="242"/>
    </row>
    <row r="908" ht="15.75" customHeight="1">
      <c r="K908" s="242"/>
    </row>
    <row r="909" ht="15.75" customHeight="1">
      <c r="K909" s="242"/>
    </row>
    <row r="910" ht="15.75" customHeight="1">
      <c r="K910" s="242"/>
    </row>
    <row r="911" ht="15.75" customHeight="1">
      <c r="K911" s="242"/>
    </row>
    <row r="912" ht="15.75" customHeight="1">
      <c r="K912" s="242"/>
    </row>
    <row r="913" ht="15.75" customHeight="1">
      <c r="K913" s="242"/>
    </row>
    <row r="914" ht="15.75" customHeight="1">
      <c r="K914" s="242"/>
    </row>
    <row r="915" ht="15.75" customHeight="1">
      <c r="K915" s="242"/>
    </row>
    <row r="916" ht="15.75" customHeight="1">
      <c r="K916" s="242"/>
    </row>
    <row r="917" ht="15.75" customHeight="1">
      <c r="K917" s="242"/>
    </row>
    <row r="918" ht="15.75" customHeight="1">
      <c r="K918" s="242"/>
    </row>
    <row r="919" ht="15.75" customHeight="1">
      <c r="K919" s="242"/>
    </row>
    <row r="920" ht="15.75" customHeight="1">
      <c r="K920" s="242"/>
    </row>
    <row r="921" ht="15.75" customHeight="1">
      <c r="K921" s="242"/>
    </row>
    <row r="922" ht="15.75" customHeight="1">
      <c r="K922" s="242"/>
    </row>
    <row r="923" ht="15.75" customHeight="1">
      <c r="K923" s="242"/>
    </row>
    <row r="924" ht="15.75" customHeight="1">
      <c r="K924" s="242"/>
    </row>
    <row r="925" ht="15.75" customHeight="1">
      <c r="K925" s="242"/>
    </row>
    <row r="926" ht="15.75" customHeight="1">
      <c r="K926" s="242"/>
    </row>
    <row r="927" ht="15.75" customHeight="1">
      <c r="K927" s="242"/>
    </row>
    <row r="928" ht="15.75" customHeight="1">
      <c r="K928" s="242"/>
    </row>
    <row r="929" ht="15.75" customHeight="1">
      <c r="K929" s="242"/>
    </row>
    <row r="930" ht="15.75" customHeight="1">
      <c r="K930" s="242"/>
    </row>
    <row r="931" ht="15.75" customHeight="1">
      <c r="K931" s="242"/>
    </row>
    <row r="932" ht="15.75" customHeight="1">
      <c r="K932" s="242"/>
    </row>
    <row r="933" ht="15.75" customHeight="1">
      <c r="K933" s="242"/>
    </row>
    <row r="934" ht="15.75" customHeight="1">
      <c r="K934" s="242"/>
    </row>
    <row r="935" ht="15.75" customHeight="1">
      <c r="K935" s="242"/>
    </row>
    <row r="936" ht="15.75" customHeight="1">
      <c r="K936" s="242"/>
    </row>
    <row r="937" ht="15.75" customHeight="1">
      <c r="K937" s="242"/>
    </row>
    <row r="938" ht="15.75" customHeight="1">
      <c r="K938" s="242"/>
    </row>
    <row r="939" ht="15.75" customHeight="1">
      <c r="K939" s="242"/>
    </row>
    <row r="940" ht="15.75" customHeight="1">
      <c r="K940" s="242"/>
    </row>
    <row r="941" ht="15.75" customHeight="1">
      <c r="K941" s="242"/>
    </row>
    <row r="942" ht="15.75" customHeight="1">
      <c r="K942" s="242"/>
    </row>
    <row r="943" ht="15.75" customHeight="1">
      <c r="K943" s="242"/>
    </row>
    <row r="944" ht="15.75" customHeight="1">
      <c r="K944" s="242"/>
    </row>
    <row r="945" ht="15.75" customHeight="1">
      <c r="K945" s="242"/>
    </row>
    <row r="946" ht="15.75" customHeight="1">
      <c r="K946" s="242"/>
    </row>
    <row r="947" ht="15.75" customHeight="1">
      <c r="K947" s="242"/>
    </row>
    <row r="948" ht="15.75" customHeight="1">
      <c r="K948" s="242"/>
    </row>
    <row r="949" ht="15.75" customHeight="1">
      <c r="K949" s="242"/>
    </row>
    <row r="950" ht="15.75" customHeight="1">
      <c r="K950" s="242"/>
    </row>
    <row r="951" ht="15.75" customHeight="1">
      <c r="K951" s="242"/>
    </row>
    <row r="952" ht="15.75" customHeight="1">
      <c r="K952" s="242"/>
    </row>
    <row r="953" ht="15.75" customHeight="1">
      <c r="K953" s="242"/>
    </row>
    <row r="954" ht="15.75" customHeight="1">
      <c r="K954" s="242"/>
    </row>
    <row r="955" ht="15.75" customHeight="1">
      <c r="K955" s="242"/>
    </row>
    <row r="956" ht="15.75" customHeight="1">
      <c r="K956" s="242"/>
    </row>
    <row r="957" ht="15.75" customHeight="1">
      <c r="K957" s="242"/>
    </row>
    <row r="958" ht="15.75" customHeight="1">
      <c r="K958" s="242"/>
    </row>
    <row r="959" ht="15.75" customHeight="1">
      <c r="K959" s="242"/>
    </row>
    <row r="960" ht="15.75" customHeight="1">
      <c r="K960" s="242"/>
    </row>
    <row r="961" ht="15.75" customHeight="1">
      <c r="K961" s="242"/>
    </row>
    <row r="962" ht="15.75" customHeight="1">
      <c r="K962" s="242"/>
    </row>
    <row r="963" ht="15.75" customHeight="1">
      <c r="K963" s="242"/>
    </row>
    <row r="964" ht="15.75" customHeight="1">
      <c r="K964" s="242"/>
    </row>
    <row r="965" ht="15.75" customHeight="1">
      <c r="K965" s="242"/>
    </row>
    <row r="966" ht="15.75" customHeight="1">
      <c r="K966" s="242"/>
    </row>
    <row r="967" ht="15.75" customHeight="1">
      <c r="K967" s="242"/>
    </row>
    <row r="968" ht="15.75" customHeight="1">
      <c r="K968" s="242"/>
    </row>
    <row r="969" ht="15.75" customHeight="1">
      <c r="K969" s="242"/>
    </row>
    <row r="970" ht="15.75" customHeight="1">
      <c r="K970" s="242"/>
    </row>
    <row r="971" ht="15.75" customHeight="1">
      <c r="K971" s="242"/>
    </row>
    <row r="972" ht="15.75" customHeight="1">
      <c r="K972" s="242"/>
    </row>
    <row r="973" ht="15.75" customHeight="1">
      <c r="K973" s="242"/>
    </row>
    <row r="974" ht="15.75" customHeight="1">
      <c r="K974" s="242"/>
    </row>
    <row r="975" ht="15.75" customHeight="1">
      <c r="K975" s="242"/>
    </row>
    <row r="976" ht="15.75" customHeight="1">
      <c r="K976" s="242"/>
    </row>
    <row r="977" ht="15.75" customHeight="1">
      <c r="K977" s="242"/>
    </row>
    <row r="978" ht="15.75" customHeight="1">
      <c r="K978" s="242"/>
    </row>
    <row r="979" ht="15.75" customHeight="1">
      <c r="K979" s="242"/>
    </row>
    <row r="980" ht="15.75" customHeight="1">
      <c r="K980" s="242"/>
    </row>
    <row r="981" ht="15.75" customHeight="1">
      <c r="K981" s="242"/>
    </row>
    <row r="982" ht="15.75" customHeight="1">
      <c r="K982" s="242"/>
    </row>
    <row r="983" ht="15.75" customHeight="1">
      <c r="K983" s="242"/>
    </row>
    <row r="984" ht="15.75" customHeight="1">
      <c r="K984" s="242"/>
    </row>
    <row r="985" ht="15.75" customHeight="1">
      <c r="K985" s="242"/>
    </row>
    <row r="986" ht="15.75" customHeight="1">
      <c r="K986" s="242"/>
    </row>
    <row r="987" ht="15.75" customHeight="1">
      <c r="K987" s="242"/>
    </row>
    <row r="988" ht="15.75" customHeight="1">
      <c r="K988" s="242"/>
    </row>
    <row r="989" ht="15.75" customHeight="1">
      <c r="K989" s="242"/>
    </row>
    <row r="990" ht="15.75" customHeight="1">
      <c r="K990" s="242"/>
    </row>
    <row r="991" ht="15.75" customHeight="1">
      <c r="K991" s="242"/>
    </row>
    <row r="992" ht="15.75" customHeight="1">
      <c r="K992" s="242"/>
    </row>
    <row r="993" ht="15.75" customHeight="1">
      <c r="K993" s="242"/>
    </row>
    <row r="994" ht="15.75" customHeight="1">
      <c r="K994" s="242"/>
    </row>
    <row r="995" ht="15.75" customHeight="1">
      <c r="K995" s="242"/>
    </row>
    <row r="996" ht="15.75" customHeight="1">
      <c r="K996" s="242"/>
    </row>
    <row r="997" ht="15.75" customHeight="1">
      <c r="K997" s="242"/>
    </row>
    <row r="998" ht="15.75" customHeight="1">
      <c r="K998" s="242"/>
    </row>
    <row r="999" ht="15.75" customHeight="1">
      <c r="K999" s="242"/>
    </row>
    <row r="1000" ht="15.75" customHeight="1">
      <c r="K1000" s="242"/>
    </row>
    <row r="1001" ht="15.75" customHeight="1">
      <c r="K1001" s="242"/>
    </row>
    <row r="1002" ht="15.75" customHeight="1">
      <c r="K1002" s="242"/>
    </row>
    <row r="1003" ht="15.75" customHeight="1">
      <c r="K1003" s="242"/>
    </row>
    <row r="1004" ht="15.75" customHeight="1">
      <c r="K1004" s="242"/>
    </row>
    <row r="1005" ht="15.75" customHeight="1">
      <c r="K1005" s="242"/>
    </row>
    <row r="1006" ht="15.75" customHeight="1">
      <c r="K1006" s="242"/>
    </row>
    <row r="1007" ht="15.75" customHeight="1">
      <c r="K1007" s="242"/>
    </row>
    <row r="1008" ht="15.75" customHeight="1">
      <c r="K1008" s="242"/>
    </row>
    <row r="1009" ht="15.75" customHeight="1">
      <c r="K1009" s="242"/>
    </row>
    <row r="1010" ht="15.75" customHeight="1">
      <c r="K1010" s="242"/>
    </row>
    <row r="1011" ht="15.75" customHeight="1">
      <c r="K1011" s="242"/>
    </row>
    <row r="1012" ht="15.75" customHeight="1">
      <c r="K1012" s="242"/>
    </row>
    <row r="1013" ht="15.75" customHeight="1">
      <c r="K1013" s="242"/>
    </row>
    <row r="1014" ht="15.75" customHeight="1">
      <c r="K1014" s="242"/>
    </row>
    <row r="1015" ht="15.75" customHeight="1">
      <c r="K1015" s="242"/>
    </row>
    <row r="1016" ht="15.75" customHeight="1">
      <c r="K1016" s="242"/>
    </row>
    <row r="1017" ht="15.75" customHeight="1">
      <c r="K1017" s="242"/>
    </row>
    <row r="1018" ht="15.75" customHeight="1">
      <c r="K1018" s="242"/>
    </row>
    <row r="1019" ht="15.75" customHeight="1">
      <c r="K1019" s="242"/>
    </row>
    <row r="1020" ht="15.75" customHeight="1">
      <c r="K1020" s="242"/>
    </row>
    <row r="1021" ht="15.75" customHeight="1">
      <c r="K1021" s="242"/>
    </row>
    <row r="1022" ht="15.75" customHeight="1">
      <c r="K1022" s="242"/>
    </row>
    <row r="1023" ht="15.75" customHeight="1">
      <c r="K1023" s="242"/>
    </row>
    <row r="1024" ht="15.75" customHeight="1">
      <c r="K1024" s="242"/>
    </row>
    <row r="1025" ht="15.75" customHeight="1">
      <c r="K1025" s="242"/>
    </row>
    <row r="1026" ht="15.75" customHeight="1">
      <c r="K1026" s="242"/>
    </row>
    <row r="1027" ht="15.75" customHeight="1">
      <c r="K1027" s="242"/>
    </row>
    <row r="1028" ht="15.75" customHeight="1">
      <c r="K1028" s="242"/>
    </row>
    <row r="1029" ht="15.75" customHeight="1">
      <c r="K1029" s="242"/>
    </row>
    <row r="1030" ht="15.75" customHeight="1">
      <c r="K1030" s="242"/>
    </row>
    <row r="1031" ht="15.75" customHeight="1">
      <c r="K1031" s="242"/>
    </row>
    <row r="1032" ht="15.75" customHeight="1">
      <c r="K1032" s="242"/>
    </row>
    <row r="1033" ht="15.75" customHeight="1">
      <c r="K1033" s="242"/>
    </row>
    <row r="1034" ht="15.75" customHeight="1">
      <c r="K1034" s="242"/>
    </row>
    <row r="1035" ht="15.75" customHeight="1">
      <c r="K1035" s="242"/>
    </row>
    <row r="1036" ht="15.75" customHeight="1">
      <c r="K1036" s="242"/>
    </row>
    <row r="1037" ht="15.75" customHeight="1">
      <c r="K1037" s="242"/>
    </row>
    <row r="1038" ht="15.75" customHeight="1">
      <c r="K1038" s="242"/>
    </row>
    <row r="1039" ht="15.75" customHeight="1">
      <c r="K1039" s="242"/>
    </row>
    <row r="1040" ht="15.75" customHeight="1">
      <c r="K1040" s="242"/>
    </row>
    <row r="1041" ht="15.75" customHeight="1">
      <c r="K1041" s="242"/>
    </row>
    <row r="1042" ht="15.75" customHeight="1">
      <c r="K1042" s="242"/>
    </row>
    <row r="1043" ht="15.75" customHeight="1">
      <c r="K1043" s="242"/>
    </row>
    <row r="1044" ht="15.75" customHeight="1">
      <c r="K1044" s="242"/>
    </row>
    <row r="1045" ht="15.75" customHeight="1">
      <c r="K1045" s="242"/>
    </row>
    <row r="1046" ht="15.75" customHeight="1">
      <c r="K1046" s="242"/>
    </row>
    <row r="1047" ht="15.75" customHeight="1">
      <c r="K1047" s="242"/>
    </row>
    <row r="1048" ht="15.75" customHeight="1">
      <c r="K1048" s="242"/>
    </row>
    <row r="1049" ht="15.75" customHeight="1">
      <c r="K1049" s="242"/>
    </row>
    <row r="1050" ht="15.75" customHeight="1">
      <c r="K1050" s="242"/>
    </row>
    <row r="1051" ht="15.75" customHeight="1">
      <c r="K1051" s="242"/>
    </row>
    <row r="1052" ht="15.75" customHeight="1">
      <c r="K1052" s="242"/>
    </row>
    <row r="1053" ht="15.75" customHeight="1">
      <c r="K1053" s="242"/>
    </row>
    <row r="1054" ht="15.75" customHeight="1">
      <c r="K1054" s="242"/>
    </row>
    <row r="1055" ht="15.75" customHeight="1">
      <c r="K1055" s="242"/>
    </row>
    <row r="1056" ht="15.75" customHeight="1">
      <c r="K1056" s="242"/>
    </row>
    <row r="1057" ht="15.75" customHeight="1">
      <c r="K1057" s="242"/>
    </row>
    <row r="1058" ht="15.75" customHeight="1">
      <c r="K1058" s="242"/>
    </row>
    <row r="1059" ht="15.75" customHeight="1">
      <c r="K1059" s="242"/>
    </row>
    <row r="1060" ht="15.75" customHeight="1">
      <c r="K1060" s="242"/>
    </row>
    <row r="1061" ht="15.75" customHeight="1">
      <c r="K1061" s="242"/>
    </row>
    <row r="1062" ht="15.75" customHeight="1">
      <c r="K1062" s="242"/>
    </row>
    <row r="1063" ht="15.75" customHeight="1">
      <c r="K1063" s="242"/>
    </row>
    <row r="1064" ht="15.75" customHeight="1">
      <c r="K1064" s="242"/>
    </row>
    <row r="1065" ht="15.75" customHeight="1">
      <c r="K1065" s="242"/>
    </row>
    <row r="1066" ht="15.75" customHeight="1">
      <c r="K1066" s="242"/>
    </row>
    <row r="1067" ht="15.75" customHeight="1">
      <c r="K1067" s="242"/>
    </row>
    <row r="1068" ht="15.75" customHeight="1">
      <c r="K1068" s="242"/>
    </row>
    <row r="1069" ht="15.75" customHeight="1">
      <c r="K1069" s="242"/>
    </row>
    <row r="1070" ht="15.75" customHeight="1">
      <c r="K1070" s="242"/>
    </row>
    <row r="1071" ht="15.75" customHeight="1">
      <c r="K1071" s="242"/>
    </row>
  </sheetData>
  <dataValidations>
    <dataValidation type="list" allowBlank="1" sqref="Q2:Q217">
      <formula1>"1,2,3,4,5,6,7,8,9,10,11,12,Total"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E9B27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71"/>
    <col customWidth="1" min="2" max="2" width="15.0"/>
    <col customWidth="1" min="3" max="3" width="17.14"/>
    <col customWidth="1" min="4" max="4" width="25.43"/>
    <col customWidth="1" min="5" max="5" width="18.71"/>
    <col customWidth="1" min="6" max="6" width="24.29"/>
    <col customWidth="1" min="7" max="7" width="18.86"/>
    <col customWidth="1" min="8" max="8" width="21.57"/>
    <col customWidth="1" min="9" max="9" width="18.57"/>
    <col customWidth="1" min="10" max="10" width="23.29"/>
    <col customWidth="1" min="11" max="11" width="21.71"/>
    <col customWidth="1" min="12" max="12" width="16.14"/>
    <col customWidth="1" min="13" max="15" width="8.71"/>
    <col customWidth="1" min="16" max="16" width="20.86"/>
    <col customWidth="1" min="17" max="27" width="8.71"/>
  </cols>
  <sheetData>
    <row r="1" ht="22.5" customHeight="1">
      <c r="A1" s="20" t="s">
        <v>298</v>
      </c>
      <c r="B1" s="21" t="s">
        <v>376</v>
      </c>
      <c r="C1" s="21" t="s">
        <v>377</v>
      </c>
      <c r="D1" s="20" t="s">
        <v>301</v>
      </c>
      <c r="E1" s="20" t="s">
        <v>302</v>
      </c>
      <c r="F1" s="20" t="s">
        <v>303</v>
      </c>
      <c r="G1" s="21" t="s">
        <v>283</v>
      </c>
      <c r="H1" s="21" t="s">
        <v>305</v>
      </c>
      <c r="I1" s="20" t="s">
        <v>306</v>
      </c>
      <c r="J1" s="21" t="s">
        <v>307</v>
      </c>
      <c r="K1" s="20" t="s">
        <v>308</v>
      </c>
      <c r="L1" s="243" t="s">
        <v>309</v>
      </c>
      <c r="M1" s="20" t="s">
        <v>310</v>
      </c>
      <c r="N1" s="20" t="s">
        <v>311</v>
      </c>
      <c r="O1" s="20" t="s">
        <v>33</v>
      </c>
      <c r="P1" s="20" t="s">
        <v>312</v>
      </c>
      <c r="Q1" s="117" t="s">
        <v>378</v>
      </c>
    </row>
    <row r="2" ht="22.5" customHeight="1">
      <c r="A2" s="244" t="s">
        <v>379</v>
      </c>
      <c r="B2" s="244">
        <v>2.0</v>
      </c>
      <c r="C2" s="244">
        <v>12.0</v>
      </c>
      <c r="D2" s="170">
        <f t="shared" ref="D2:D16" si="1">(C2*B2)</f>
        <v>24</v>
      </c>
      <c r="E2" s="170">
        <v>2.6</v>
      </c>
      <c r="F2" s="170">
        <v>4.0</v>
      </c>
      <c r="G2" s="170"/>
      <c r="H2" s="170">
        <v>2.0</v>
      </c>
      <c r="I2" s="170">
        <f t="shared" ref="I2:I16" si="2">(C2*H2)</f>
        <v>24</v>
      </c>
      <c r="J2" s="170">
        <v>0.0</v>
      </c>
      <c r="K2" s="170">
        <f t="shared" ref="K2:K16" si="3">(C2*J2)</f>
        <v>0</v>
      </c>
      <c r="L2" s="245">
        <f t="shared" ref="L2:L16" si="4">(B2+J2)-H2</f>
        <v>0</v>
      </c>
      <c r="M2" s="168">
        <f t="shared" ref="M2:M16" si="5">(D2+K2-I2)</f>
        <v>0</v>
      </c>
      <c r="N2" s="168">
        <f t="shared" ref="N2:N5" si="6">(D2 + K2 - M2) * E2</f>
        <v>62.4</v>
      </c>
      <c r="O2" s="168">
        <f t="shared" ref="O2:O5" si="7">(I2*F2)</f>
        <v>96</v>
      </c>
      <c r="P2" s="246">
        <f t="shared" ref="P2:P5" si="8">(O2-N2)</f>
        <v>33.6</v>
      </c>
      <c r="Q2" s="247"/>
    </row>
    <row r="3" ht="22.5" customHeight="1">
      <c r="A3" s="248" t="s">
        <v>380</v>
      </c>
      <c r="B3" s="248">
        <v>9.0</v>
      </c>
      <c r="C3" s="248">
        <v>16.0</v>
      </c>
      <c r="D3" s="166">
        <f t="shared" si="1"/>
        <v>144</v>
      </c>
      <c r="E3" s="166">
        <v>1.75</v>
      </c>
      <c r="F3" s="166">
        <v>3.0</v>
      </c>
      <c r="G3" s="166"/>
      <c r="H3" s="166">
        <v>9.0</v>
      </c>
      <c r="I3" s="166">
        <f t="shared" si="2"/>
        <v>144</v>
      </c>
      <c r="J3" s="166">
        <v>0.0</v>
      </c>
      <c r="K3" s="166">
        <f t="shared" si="3"/>
        <v>0</v>
      </c>
      <c r="L3" s="249">
        <f t="shared" si="4"/>
        <v>0</v>
      </c>
      <c r="M3" s="250">
        <f t="shared" si="5"/>
        <v>0</v>
      </c>
      <c r="N3" s="172">
        <f t="shared" si="6"/>
        <v>252</v>
      </c>
      <c r="O3" s="172">
        <f t="shared" si="7"/>
        <v>432</v>
      </c>
      <c r="P3" s="251">
        <f t="shared" si="8"/>
        <v>180</v>
      </c>
      <c r="Q3" s="247"/>
    </row>
    <row r="4" ht="22.5" customHeight="1">
      <c r="A4" s="252" t="s">
        <v>381</v>
      </c>
      <c r="B4" s="252">
        <v>1.0</v>
      </c>
      <c r="C4" s="252">
        <v>30.0</v>
      </c>
      <c r="D4" s="175">
        <f t="shared" si="1"/>
        <v>30</v>
      </c>
      <c r="E4" s="175">
        <v>4.5</v>
      </c>
      <c r="F4" s="175">
        <v>5.0</v>
      </c>
      <c r="G4" s="175"/>
      <c r="H4" s="175">
        <v>1.0</v>
      </c>
      <c r="I4" s="175">
        <f t="shared" si="2"/>
        <v>30</v>
      </c>
      <c r="J4" s="175"/>
      <c r="K4" s="253">
        <f t="shared" si="3"/>
        <v>0</v>
      </c>
      <c r="L4" s="254">
        <f t="shared" si="4"/>
        <v>0</v>
      </c>
      <c r="M4" s="172">
        <f t="shared" si="5"/>
        <v>0</v>
      </c>
      <c r="N4" s="255">
        <f t="shared" si="6"/>
        <v>135</v>
      </c>
      <c r="O4" s="178">
        <f t="shared" si="7"/>
        <v>150</v>
      </c>
      <c r="P4" s="256">
        <f t="shared" si="8"/>
        <v>15</v>
      </c>
      <c r="Q4" s="247"/>
    </row>
    <row r="5" ht="22.5" customHeight="1">
      <c r="A5" s="252" t="s">
        <v>382</v>
      </c>
      <c r="B5" s="252">
        <v>16.0</v>
      </c>
      <c r="C5" s="252">
        <v>30.0</v>
      </c>
      <c r="D5" s="175">
        <f t="shared" si="1"/>
        <v>480</v>
      </c>
      <c r="E5" s="175">
        <v>2.23</v>
      </c>
      <c r="F5" s="175">
        <v>3.0</v>
      </c>
      <c r="G5" s="175"/>
      <c r="H5" s="175">
        <v>16.0</v>
      </c>
      <c r="I5" s="175">
        <f t="shared" si="2"/>
        <v>480</v>
      </c>
      <c r="J5" s="175">
        <v>0.0</v>
      </c>
      <c r="K5" s="175">
        <f t="shared" si="3"/>
        <v>0</v>
      </c>
      <c r="L5" s="249">
        <f t="shared" si="4"/>
        <v>0</v>
      </c>
      <c r="M5" s="250">
        <f t="shared" si="5"/>
        <v>0</v>
      </c>
      <c r="N5" s="178">
        <f t="shared" si="6"/>
        <v>1070.4</v>
      </c>
      <c r="O5" s="178">
        <f t="shared" si="7"/>
        <v>1440</v>
      </c>
      <c r="P5" s="256">
        <f t="shared" si="8"/>
        <v>369.6</v>
      </c>
      <c r="Q5" s="247"/>
    </row>
    <row r="6" ht="22.5" customHeight="1">
      <c r="A6" s="183" t="s">
        <v>324</v>
      </c>
      <c r="B6" s="183"/>
      <c r="C6" s="183"/>
      <c r="D6" s="183">
        <f t="shared" si="1"/>
        <v>0</v>
      </c>
      <c r="E6" s="183"/>
      <c r="F6" s="183"/>
      <c r="G6" s="184"/>
      <c r="H6" s="184"/>
      <c r="I6" s="183">
        <f t="shared" si="2"/>
        <v>0</v>
      </c>
      <c r="J6" s="184"/>
      <c r="K6" s="183">
        <f t="shared" si="3"/>
        <v>0</v>
      </c>
      <c r="L6" s="257">
        <f t="shared" si="4"/>
        <v>0</v>
      </c>
      <c r="M6" s="184">
        <f t="shared" si="5"/>
        <v>0</v>
      </c>
      <c r="N6" s="184">
        <f t="shared" ref="N6:P6" si="9">sum(N2:N5)</f>
        <v>1519.8</v>
      </c>
      <c r="O6" s="184">
        <f t="shared" si="9"/>
        <v>2118</v>
      </c>
      <c r="P6" s="258">
        <f t="shared" si="9"/>
        <v>598.2</v>
      </c>
      <c r="Q6" s="259">
        <v>8.0</v>
      </c>
    </row>
    <row r="7" ht="22.5" customHeight="1">
      <c r="A7" s="191" t="s">
        <v>383</v>
      </c>
      <c r="B7" s="191">
        <v>1.0</v>
      </c>
      <c r="C7" s="191">
        <v>30.0</v>
      </c>
      <c r="D7" s="191">
        <f t="shared" si="1"/>
        <v>30</v>
      </c>
      <c r="E7" s="191">
        <v>0.9</v>
      </c>
      <c r="F7" s="191">
        <v>1.0</v>
      </c>
      <c r="G7" s="191"/>
      <c r="H7" s="191">
        <v>1.0</v>
      </c>
      <c r="I7" s="191">
        <f t="shared" si="2"/>
        <v>30</v>
      </c>
      <c r="J7" s="250"/>
      <c r="K7" s="191">
        <f t="shared" si="3"/>
        <v>0</v>
      </c>
      <c r="L7" s="249">
        <f t="shared" si="4"/>
        <v>0</v>
      </c>
      <c r="M7" s="250">
        <f t="shared" si="5"/>
        <v>0</v>
      </c>
      <c r="N7" s="250">
        <f t="shared" ref="N7:N16" si="10">(D7 + K7 - M7) * E7</f>
        <v>27</v>
      </c>
      <c r="O7" s="250">
        <f t="shared" ref="O7:O16" si="11">(I7*F7)</f>
        <v>30</v>
      </c>
      <c r="P7" s="260">
        <f t="shared" ref="P7:P16" si="12">(O7-N7)</f>
        <v>3</v>
      </c>
      <c r="Q7" s="247"/>
    </row>
    <row r="8" ht="22.5" customHeight="1">
      <c r="A8" s="175" t="s">
        <v>384</v>
      </c>
      <c r="B8" s="175">
        <v>2.0</v>
      </c>
      <c r="C8" s="175">
        <v>10.0</v>
      </c>
      <c r="D8" s="175">
        <f t="shared" si="1"/>
        <v>20</v>
      </c>
      <c r="E8" s="175">
        <v>3.35</v>
      </c>
      <c r="F8" s="175">
        <v>4.0</v>
      </c>
      <c r="G8" s="175"/>
      <c r="H8" s="175">
        <v>2.0</v>
      </c>
      <c r="I8" s="175">
        <f t="shared" si="2"/>
        <v>20</v>
      </c>
      <c r="J8" s="178"/>
      <c r="K8" s="175">
        <f t="shared" si="3"/>
        <v>0</v>
      </c>
      <c r="L8" s="261">
        <f t="shared" si="4"/>
        <v>0</v>
      </c>
      <c r="M8" s="178">
        <f t="shared" si="5"/>
        <v>0</v>
      </c>
      <c r="N8" s="178">
        <f t="shared" si="10"/>
        <v>67</v>
      </c>
      <c r="O8" s="178">
        <f t="shared" si="11"/>
        <v>80</v>
      </c>
      <c r="P8" s="256">
        <f t="shared" si="12"/>
        <v>13</v>
      </c>
      <c r="Q8" s="247"/>
    </row>
    <row r="9" ht="22.5" customHeight="1">
      <c r="A9" s="175" t="s">
        <v>385</v>
      </c>
      <c r="B9" s="175">
        <v>9.0</v>
      </c>
      <c r="C9" s="175">
        <v>15.0</v>
      </c>
      <c r="D9" s="175">
        <f t="shared" si="1"/>
        <v>135</v>
      </c>
      <c r="E9" s="175">
        <v>2.03</v>
      </c>
      <c r="F9" s="175">
        <v>3.0</v>
      </c>
      <c r="G9" s="175"/>
      <c r="H9" s="175">
        <v>9.0</v>
      </c>
      <c r="I9" s="175">
        <f t="shared" si="2"/>
        <v>135</v>
      </c>
      <c r="J9" s="175">
        <v>0.0</v>
      </c>
      <c r="K9" s="175">
        <f t="shared" si="3"/>
        <v>0</v>
      </c>
      <c r="L9" s="261">
        <f t="shared" si="4"/>
        <v>0</v>
      </c>
      <c r="M9" s="178">
        <f t="shared" si="5"/>
        <v>0</v>
      </c>
      <c r="N9" s="178">
        <f t="shared" si="10"/>
        <v>274.05</v>
      </c>
      <c r="O9" s="178">
        <f t="shared" si="11"/>
        <v>405</v>
      </c>
      <c r="P9" s="256">
        <f t="shared" si="12"/>
        <v>130.95</v>
      </c>
      <c r="Q9" s="247"/>
    </row>
    <row r="10" ht="22.5" customHeight="1">
      <c r="A10" s="175" t="s">
        <v>386</v>
      </c>
      <c r="B10" s="175">
        <v>1.0</v>
      </c>
      <c r="C10" s="175">
        <v>24.0</v>
      </c>
      <c r="D10" s="175">
        <f t="shared" si="1"/>
        <v>24</v>
      </c>
      <c r="E10" s="175">
        <v>4.17</v>
      </c>
      <c r="F10" s="175">
        <v>5.0</v>
      </c>
      <c r="G10" s="175"/>
      <c r="H10" s="175">
        <v>1.0</v>
      </c>
      <c r="I10" s="175">
        <f t="shared" si="2"/>
        <v>24</v>
      </c>
      <c r="J10" s="178"/>
      <c r="K10" s="175">
        <f t="shared" si="3"/>
        <v>0</v>
      </c>
      <c r="L10" s="261">
        <f t="shared" si="4"/>
        <v>0</v>
      </c>
      <c r="M10" s="178">
        <f t="shared" si="5"/>
        <v>0</v>
      </c>
      <c r="N10" s="178">
        <f t="shared" si="10"/>
        <v>100.08</v>
      </c>
      <c r="O10" s="178">
        <f t="shared" si="11"/>
        <v>120</v>
      </c>
      <c r="P10" s="256">
        <f t="shared" si="12"/>
        <v>19.92</v>
      </c>
      <c r="Q10" s="247"/>
    </row>
    <row r="11" ht="22.5" customHeight="1">
      <c r="A11" s="252" t="s">
        <v>387</v>
      </c>
      <c r="B11" s="175">
        <v>14.0</v>
      </c>
      <c r="C11" s="175">
        <v>15.0</v>
      </c>
      <c r="D11" s="175">
        <f t="shared" si="1"/>
        <v>210</v>
      </c>
      <c r="E11" s="175">
        <v>2.22</v>
      </c>
      <c r="F11" s="175">
        <v>3.0</v>
      </c>
      <c r="G11" s="175"/>
      <c r="H11" s="175">
        <v>14.0</v>
      </c>
      <c r="I11" s="175">
        <f t="shared" si="2"/>
        <v>210</v>
      </c>
      <c r="J11" s="175">
        <v>0.0</v>
      </c>
      <c r="K11" s="175">
        <f t="shared" si="3"/>
        <v>0</v>
      </c>
      <c r="L11" s="261">
        <f t="shared" si="4"/>
        <v>0</v>
      </c>
      <c r="M11" s="178">
        <f t="shared" si="5"/>
        <v>0</v>
      </c>
      <c r="N11" s="178">
        <f t="shared" si="10"/>
        <v>466.2</v>
      </c>
      <c r="O11" s="178">
        <f t="shared" si="11"/>
        <v>630</v>
      </c>
      <c r="P11" s="256">
        <f t="shared" si="12"/>
        <v>163.8</v>
      </c>
      <c r="Q11" s="247"/>
    </row>
    <row r="12" ht="22.5" customHeight="1">
      <c r="A12" s="262" t="s">
        <v>388</v>
      </c>
      <c r="B12" s="175">
        <v>2.0</v>
      </c>
      <c r="C12" s="175">
        <v>18.0</v>
      </c>
      <c r="D12" s="175">
        <f t="shared" si="1"/>
        <v>36</v>
      </c>
      <c r="E12" s="175">
        <v>2.11</v>
      </c>
      <c r="F12" s="175">
        <v>3.0</v>
      </c>
      <c r="G12" s="175"/>
      <c r="H12" s="175">
        <v>2.0</v>
      </c>
      <c r="I12" s="175">
        <f t="shared" si="2"/>
        <v>36</v>
      </c>
      <c r="J12" s="178"/>
      <c r="K12" s="175">
        <f t="shared" si="3"/>
        <v>0</v>
      </c>
      <c r="L12" s="261">
        <f t="shared" si="4"/>
        <v>0</v>
      </c>
      <c r="M12" s="178">
        <f t="shared" si="5"/>
        <v>0</v>
      </c>
      <c r="N12" s="178">
        <f t="shared" si="10"/>
        <v>75.96</v>
      </c>
      <c r="O12" s="178">
        <f t="shared" si="11"/>
        <v>108</v>
      </c>
      <c r="P12" s="256">
        <f t="shared" si="12"/>
        <v>32.04</v>
      </c>
      <c r="Q12" s="247"/>
    </row>
    <row r="13" ht="22.5" customHeight="1">
      <c r="A13" s="262" t="s">
        <v>389</v>
      </c>
      <c r="B13" s="175">
        <v>1.0</v>
      </c>
      <c r="C13" s="175">
        <v>50.0</v>
      </c>
      <c r="D13" s="175">
        <f t="shared" si="1"/>
        <v>50</v>
      </c>
      <c r="E13" s="175">
        <v>0.42</v>
      </c>
      <c r="F13" s="175">
        <v>1.0</v>
      </c>
      <c r="G13" s="175"/>
      <c r="H13" s="175">
        <v>1.0</v>
      </c>
      <c r="I13" s="175">
        <f t="shared" si="2"/>
        <v>50</v>
      </c>
      <c r="J13" s="178"/>
      <c r="K13" s="175">
        <f t="shared" si="3"/>
        <v>0</v>
      </c>
      <c r="L13" s="261">
        <f t="shared" si="4"/>
        <v>0</v>
      </c>
      <c r="M13" s="178">
        <f t="shared" si="5"/>
        <v>0</v>
      </c>
      <c r="N13" s="178">
        <f t="shared" si="10"/>
        <v>21</v>
      </c>
      <c r="O13" s="178">
        <f t="shared" si="11"/>
        <v>50</v>
      </c>
      <c r="P13" s="256">
        <f t="shared" si="12"/>
        <v>29</v>
      </c>
      <c r="Q13" s="247"/>
    </row>
    <row r="14" ht="22.5" customHeight="1">
      <c r="A14" s="262" t="s">
        <v>390</v>
      </c>
      <c r="B14" s="175">
        <v>2.0</v>
      </c>
      <c r="C14" s="175">
        <v>15.0</v>
      </c>
      <c r="D14" s="175">
        <f t="shared" si="1"/>
        <v>30</v>
      </c>
      <c r="E14" s="175">
        <v>0.8</v>
      </c>
      <c r="F14" s="175">
        <v>2.0</v>
      </c>
      <c r="G14" s="175"/>
      <c r="H14" s="175">
        <v>0.0</v>
      </c>
      <c r="I14" s="175">
        <f t="shared" si="2"/>
        <v>0</v>
      </c>
      <c r="J14" s="175">
        <v>0.0</v>
      </c>
      <c r="K14" s="175">
        <f t="shared" si="3"/>
        <v>0</v>
      </c>
      <c r="L14" s="261">
        <f t="shared" si="4"/>
        <v>2</v>
      </c>
      <c r="M14" s="178">
        <f t="shared" si="5"/>
        <v>30</v>
      </c>
      <c r="N14" s="178">
        <f t="shared" si="10"/>
        <v>0</v>
      </c>
      <c r="O14" s="178">
        <f t="shared" si="11"/>
        <v>0</v>
      </c>
      <c r="P14" s="256">
        <f t="shared" si="12"/>
        <v>0</v>
      </c>
      <c r="Q14" s="247"/>
    </row>
    <row r="15" ht="22.5" customHeight="1">
      <c r="A15" s="252" t="s">
        <v>391</v>
      </c>
      <c r="B15" s="175">
        <v>6.0</v>
      </c>
      <c r="C15" s="175">
        <v>40.0</v>
      </c>
      <c r="D15" s="175">
        <f t="shared" si="1"/>
        <v>240</v>
      </c>
      <c r="E15" s="175">
        <v>0.72</v>
      </c>
      <c r="F15" s="175">
        <v>2.0</v>
      </c>
      <c r="G15" s="175"/>
      <c r="H15" s="175">
        <v>6.0</v>
      </c>
      <c r="I15" s="175">
        <f t="shared" si="2"/>
        <v>240</v>
      </c>
      <c r="J15" s="175">
        <v>0.0</v>
      </c>
      <c r="K15" s="175">
        <f t="shared" si="3"/>
        <v>0</v>
      </c>
      <c r="L15" s="261">
        <f t="shared" si="4"/>
        <v>0</v>
      </c>
      <c r="M15" s="178">
        <f t="shared" si="5"/>
        <v>0</v>
      </c>
      <c r="N15" s="178">
        <f t="shared" si="10"/>
        <v>172.8</v>
      </c>
      <c r="O15" s="178">
        <f t="shared" si="11"/>
        <v>480</v>
      </c>
      <c r="P15" s="256">
        <f t="shared" si="12"/>
        <v>307.2</v>
      </c>
      <c r="Q15" s="247"/>
    </row>
    <row r="16" ht="22.5" customHeight="1">
      <c r="A16" s="252" t="s">
        <v>380</v>
      </c>
      <c r="B16" s="175">
        <v>12.0</v>
      </c>
      <c r="C16" s="175">
        <v>30.0</v>
      </c>
      <c r="D16" s="175">
        <f t="shared" si="1"/>
        <v>360</v>
      </c>
      <c r="E16" s="175">
        <v>0.86</v>
      </c>
      <c r="F16" s="175">
        <v>2.0</v>
      </c>
      <c r="G16" s="175"/>
      <c r="H16" s="175">
        <v>12.0</v>
      </c>
      <c r="I16" s="175">
        <f t="shared" si="2"/>
        <v>360</v>
      </c>
      <c r="J16" s="175">
        <v>0.0</v>
      </c>
      <c r="K16" s="175">
        <f t="shared" si="3"/>
        <v>0</v>
      </c>
      <c r="L16" s="261">
        <f t="shared" si="4"/>
        <v>0</v>
      </c>
      <c r="M16" s="178">
        <f t="shared" si="5"/>
        <v>0</v>
      </c>
      <c r="N16" s="178">
        <f t="shared" si="10"/>
        <v>309.6</v>
      </c>
      <c r="O16" s="178">
        <f t="shared" si="11"/>
        <v>720</v>
      </c>
      <c r="P16" s="256">
        <f t="shared" si="12"/>
        <v>410.4</v>
      </c>
      <c r="Q16" s="247"/>
    </row>
    <row r="17" ht="22.5" customHeight="1">
      <c r="A17" s="263" t="s">
        <v>331</v>
      </c>
      <c r="B17" s="264"/>
      <c r="C17" s="264"/>
      <c r="D17" s="264"/>
      <c r="E17" s="264"/>
      <c r="F17" s="264"/>
      <c r="G17" s="264"/>
      <c r="H17" s="264"/>
      <c r="I17" s="264"/>
      <c r="J17" s="264"/>
      <c r="K17" s="264"/>
      <c r="L17" s="257"/>
      <c r="M17" s="264"/>
      <c r="N17" s="264">
        <f t="shared" ref="N17:P17" si="13">sum(N7:N16)</f>
        <v>1513.69</v>
      </c>
      <c r="O17" s="264">
        <f t="shared" si="13"/>
        <v>2623</v>
      </c>
      <c r="P17" s="265">
        <f t="shared" si="13"/>
        <v>1109.31</v>
      </c>
      <c r="Q17" s="259">
        <v>9.0</v>
      </c>
    </row>
    <row r="18" ht="22.5" customHeight="1">
      <c r="A18" s="266" t="s">
        <v>392</v>
      </c>
      <c r="B18" s="267">
        <v>8.0</v>
      </c>
      <c r="C18" s="267">
        <v>18.0</v>
      </c>
      <c r="D18" s="268">
        <f t="shared" ref="D18:D31" si="14">C18*B18</f>
        <v>144</v>
      </c>
      <c r="E18" s="267">
        <v>2.27</v>
      </c>
      <c r="F18" s="267">
        <v>3.0</v>
      </c>
      <c r="G18" s="267"/>
      <c r="H18" s="267">
        <v>8.0</v>
      </c>
      <c r="I18" s="268">
        <f t="shared" ref="I18:I83" si="15">C18*H18</f>
        <v>144</v>
      </c>
      <c r="J18" s="267">
        <v>0.0</v>
      </c>
      <c r="K18" s="268">
        <f t="shared" ref="K18:K88" si="16">(C18*J18)</f>
        <v>0</v>
      </c>
      <c r="L18" s="269">
        <f t="shared" ref="L18:L31" si="17">(B18+J18)-H18</f>
        <v>0</v>
      </c>
      <c r="M18" s="268">
        <f t="shared" ref="M18:M30" si="18">(D18+K18)-I18</f>
        <v>0</v>
      </c>
      <c r="N18" s="268">
        <f t="shared" ref="N18:N30" si="19">(D18 + K18 - M18) * E18</f>
        <v>326.88</v>
      </c>
      <c r="O18" s="268">
        <f t="shared" ref="O18:O30" si="20">(I18*F18)</f>
        <v>432</v>
      </c>
      <c r="P18" s="270">
        <f t="shared" ref="P18:P30" si="21">O18-N18</f>
        <v>105.12</v>
      </c>
      <c r="Q18" s="247"/>
    </row>
    <row r="19" ht="22.5" customHeight="1">
      <c r="A19" s="271" t="s">
        <v>393</v>
      </c>
      <c r="B19" s="272">
        <v>10.0</v>
      </c>
      <c r="C19" s="272">
        <v>12.0</v>
      </c>
      <c r="D19" s="268">
        <f t="shared" si="14"/>
        <v>120</v>
      </c>
      <c r="E19" s="272">
        <v>2.66</v>
      </c>
      <c r="F19" s="272">
        <v>4.0</v>
      </c>
      <c r="G19" s="272"/>
      <c r="H19" s="272">
        <v>10.0</v>
      </c>
      <c r="I19" s="268">
        <f t="shared" si="15"/>
        <v>120</v>
      </c>
      <c r="J19" s="272">
        <v>0.0</v>
      </c>
      <c r="K19" s="268">
        <f t="shared" si="16"/>
        <v>0</v>
      </c>
      <c r="L19" s="269">
        <f t="shared" si="17"/>
        <v>0</v>
      </c>
      <c r="M19" s="268">
        <f t="shared" si="18"/>
        <v>0</v>
      </c>
      <c r="N19" s="268">
        <f t="shared" si="19"/>
        <v>319.2</v>
      </c>
      <c r="O19" s="268">
        <f t="shared" si="20"/>
        <v>480</v>
      </c>
      <c r="P19" s="270">
        <f t="shared" si="21"/>
        <v>160.8</v>
      </c>
      <c r="Q19" s="247"/>
    </row>
    <row r="20" ht="22.5" customHeight="1">
      <c r="A20" s="271" t="s">
        <v>394</v>
      </c>
      <c r="B20" s="272">
        <v>1.0</v>
      </c>
      <c r="C20" s="272">
        <v>16.0</v>
      </c>
      <c r="D20" s="268">
        <f t="shared" si="14"/>
        <v>16</v>
      </c>
      <c r="E20" s="272">
        <v>1.75</v>
      </c>
      <c r="F20" s="272">
        <v>3.0</v>
      </c>
      <c r="G20" s="272"/>
      <c r="H20" s="272">
        <v>1.0</v>
      </c>
      <c r="I20" s="268">
        <f t="shared" si="15"/>
        <v>16</v>
      </c>
      <c r="J20" s="272"/>
      <c r="K20" s="268">
        <f t="shared" si="16"/>
        <v>0</v>
      </c>
      <c r="L20" s="269">
        <f t="shared" si="17"/>
        <v>0</v>
      </c>
      <c r="M20" s="268">
        <f t="shared" si="18"/>
        <v>0</v>
      </c>
      <c r="N20" s="268">
        <f t="shared" si="19"/>
        <v>28</v>
      </c>
      <c r="O20" s="268">
        <f t="shared" si="20"/>
        <v>48</v>
      </c>
      <c r="P20" s="270">
        <f t="shared" si="21"/>
        <v>20</v>
      </c>
      <c r="Q20" s="247"/>
    </row>
    <row r="21" ht="15.75" customHeight="1">
      <c r="A21" s="271" t="s">
        <v>395</v>
      </c>
      <c r="B21" s="272">
        <v>6.0</v>
      </c>
      <c r="C21" s="272">
        <v>40.0</v>
      </c>
      <c r="D21" s="268">
        <f t="shared" si="14"/>
        <v>240</v>
      </c>
      <c r="E21" s="272">
        <v>0.9</v>
      </c>
      <c r="F21" s="272">
        <v>2.0</v>
      </c>
      <c r="G21" s="272"/>
      <c r="H21" s="272">
        <v>6.0</v>
      </c>
      <c r="I21" s="268">
        <f t="shared" si="15"/>
        <v>240</v>
      </c>
      <c r="J21" s="272">
        <v>0.0</v>
      </c>
      <c r="K21" s="268">
        <f t="shared" si="16"/>
        <v>0</v>
      </c>
      <c r="L21" s="269">
        <f t="shared" si="17"/>
        <v>0</v>
      </c>
      <c r="M21" s="268">
        <f t="shared" si="18"/>
        <v>0</v>
      </c>
      <c r="N21" s="268">
        <f t="shared" si="19"/>
        <v>216</v>
      </c>
      <c r="O21" s="268">
        <f t="shared" si="20"/>
        <v>480</v>
      </c>
      <c r="P21" s="270">
        <f t="shared" si="21"/>
        <v>264</v>
      </c>
      <c r="Q21" s="247"/>
    </row>
    <row r="22" ht="15.75" customHeight="1">
      <c r="A22" s="273" t="s">
        <v>396</v>
      </c>
      <c r="B22" s="272">
        <v>2.0</v>
      </c>
      <c r="C22" s="272">
        <v>10.0</v>
      </c>
      <c r="D22" s="268">
        <f t="shared" si="14"/>
        <v>20</v>
      </c>
      <c r="E22" s="272">
        <v>3.5</v>
      </c>
      <c r="F22" s="272">
        <v>4.0</v>
      </c>
      <c r="G22" s="272"/>
      <c r="H22" s="272">
        <v>2.0</v>
      </c>
      <c r="I22" s="268">
        <f t="shared" si="15"/>
        <v>20</v>
      </c>
      <c r="J22" s="272">
        <v>0.0</v>
      </c>
      <c r="K22" s="268">
        <f t="shared" si="16"/>
        <v>0</v>
      </c>
      <c r="L22" s="269">
        <f t="shared" si="17"/>
        <v>0</v>
      </c>
      <c r="M22" s="268">
        <f t="shared" si="18"/>
        <v>0</v>
      </c>
      <c r="N22" s="268">
        <f t="shared" si="19"/>
        <v>70</v>
      </c>
      <c r="O22" s="268">
        <f t="shared" si="20"/>
        <v>80</v>
      </c>
      <c r="P22" s="270">
        <f t="shared" si="21"/>
        <v>10</v>
      </c>
      <c r="Q22" s="247"/>
    </row>
    <row r="23" ht="15.75" customHeight="1">
      <c r="A23" s="146" t="s">
        <v>397</v>
      </c>
      <c r="B23" s="202">
        <v>4.0</v>
      </c>
      <c r="C23" s="203">
        <v>15.0</v>
      </c>
      <c r="D23" s="274">
        <f t="shared" si="14"/>
        <v>60</v>
      </c>
      <c r="E23" s="203">
        <v>2.06</v>
      </c>
      <c r="F23" s="203">
        <v>3.0</v>
      </c>
      <c r="G23" s="203"/>
      <c r="H23" s="203">
        <v>3.0</v>
      </c>
      <c r="I23" s="268">
        <f t="shared" si="15"/>
        <v>45</v>
      </c>
      <c r="J23" s="203">
        <v>0.0</v>
      </c>
      <c r="K23" s="274">
        <f t="shared" si="16"/>
        <v>0</v>
      </c>
      <c r="L23" s="275">
        <f t="shared" si="17"/>
        <v>1</v>
      </c>
      <c r="M23" s="274">
        <f t="shared" si="18"/>
        <v>15</v>
      </c>
      <c r="N23" s="268">
        <f t="shared" si="19"/>
        <v>92.7</v>
      </c>
      <c r="O23" s="268">
        <f t="shared" si="20"/>
        <v>135</v>
      </c>
      <c r="P23" s="270">
        <f t="shared" si="21"/>
        <v>42.3</v>
      </c>
      <c r="Q23" s="247"/>
    </row>
    <row r="24" ht="15.75" customHeight="1">
      <c r="A24" s="146" t="s">
        <v>398</v>
      </c>
      <c r="B24" s="146">
        <v>6.0</v>
      </c>
      <c r="C24" s="146">
        <v>6.0</v>
      </c>
      <c r="D24" s="274">
        <f t="shared" si="14"/>
        <v>36</v>
      </c>
      <c r="E24" s="203">
        <v>1.83</v>
      </c>
      <c r="F24" s="203">
        <v>2.0</v>
      </c>
      <c r="G24" s="203"/>
      <c r="H24" s="203">
        <v>6.0</v>
      </c>
      <c r="I24" s="268">
        <f t="shared" si="15"/>
        <v>36</v>
      </c>
      <c r="J24" s="203"/>
      <c r="K24" s="274">
        <f t="shared" si="16"/>
        <v>0</v>
      </c>
      <c r="L24" s="276">
        <f t="shared" si="17"/>
        <v>0</v>
      </c>
      <c r="M24" s="274">
        <f t="shared" si="18"/>
        <v>0</v>
      </c>
      <c r="N24" s="268">
        <f t="shared" si="19"/>
        <v>65.88</v>
      </c>
      <c r="O24" s="268">
        <f t="shared" si="20"/>
        <v>72</v>
      </c>
      <c r="P24" s="270">
        <f t="shared" si="21"/>
        <v>6.12</v>
      </c>
      <c r="Q24" s="247"/>
    </row>
    <row r="25" ht="15.75" customHeight="1">
      <c r="A25" s="146" t="s">
        <v>398</v>
      </c>
      <c r="B25" s="146">
        <v>6.0</v>
      </c>
      <c r="C25" s="146">
        <v>6.0</v>
      </c>
      <c r="D25" s="274">
        <f t="shared" si="14"/>
        <v>36</v>
      </c>
      <c r="E25" s="203">
        <v>1.83</v>
      </c>
      <c r="F25" s="203">
        <v>4.0</v>
      </c>
      <c r="G25" s="203"/>
      <c r="H25" s="203">
        <v>6.0</v>
      </c>
      <c r="I25" s="268">
        <f t="shared" si="15"/>
        <v>36</v>
      </c>
      <c r="J25" s="203">
        <v>0.0</v>
      </c>
      <c r="K25" s="274">
        <f t="shared" si="16"/>
        <v>0</v>
      </c>
      <c r="L25" s="276">
        <f t="shared" si="17"/>
        <v>0</v>
      </c>
      <c r="M25" s="274">
        <f t="shared" si="18"/>
        <v>0</v>
      </c>
      <c r="N25" s="268">
        <f t="shared" si="19"/>
        <v>65.88</v>
      </c>
      <c r="O25" s="268">
        <f t="shared" si="20"/>
        <v>144</v>
      </c>
      <c r="P25" s="270">
        <f t="shared" si="21"/>
        <v>78.12</v>
      </c>
      <c r="Q25" s="247"/>
    </row>
    <row r="26" ht="15.75" customHeight="1">
      <c r="A26" s="146" t="s">
        <v>399</v>
      </c>
      <c r="B26" s="146">
        <v>1.0</v>
      </c>
      <c r="C26" s="94"/>
      <c r="D26" s="274">
        <f t="shared" si="14"/>
        <v>0</v>
      </c>
      <c r="E26" s="277"/>
      <c r="F26" s="203">
        <v>6.0</v>
      </c>
      <c r="G26" s="203"/>
      <c r="H26" s="203">
        <v>1.0</v>
      </c>
      <c r="I26" s="268">
        <f t="shared" si="15"/>
        <v>0</v>
      </c>
      <c r="J26" s="277"/>
      <c r="K26" s="274">
        <f t="shared" si="16"/>
        <v>0</v>
      </c>
      <c r="L26" s="276">
        <f t="shared" si="17"/>
        <v>0</v>
      </c>
      <c r="M26" s="274">
        <f t="shared" si="18"/>
        <v>0</v>
      </c>
      <c r="N26" s="268">
        <f t="shared" si="19"/>
        <v>0</v>
      </c>
      <c r="O26" s="268">
        <f t="shared" si="20"/>
        <v>0</v>
      </c>
      <c r="P26" s="270">
        <f t="shared" si="21"/>
        <v>0</v>
      </c>
      <c r="Q26" s="278"/>
    </row>
    <row r="27" ht="15.75" customHeight="1">
      <c r="A27" s="146" t="s">
        <v>400</v>
      </c>
      <c r="B27" s="146">
        <v>1.0</v>
      </c>
      <c r="C27" s="146">
        <v>30.0</v>
      </c>
      <c r="D27" s="274">
        <f t="shared" si="14"/>
        <v>30</v>
      </c>
      <c r="E27" s="203">
        <v>2.26</v>
      </c>
      <c r="F27" s="203">
        <v>3.0</v>
      </c>
      <c r="G27" s="277"/>
      <c r="H27" s="277"/>
      <c r="I27" s="268">
        <f t="shared" si="15"/>
        <v>0</v>
      </c>
      <c r="J27" s="277"/>
      <c r="K27" s="274">
        <f t="shared" si="16"/>
        <v>0</v>
      </c>
      <c r="L27" s="276">
        <f t="shared" si="17"/>
        <v>1</v>
      </c>
      <c r="M27" s="274">
        <f t="shared" si="18"/>
        <v>30</v>
      </c>
      <c r="N27" s="268">
        <f t="shared" si="19"/>
        <v>0</v>
      </c>
      <c r="O27" s="268">
        <f t="shared" si="20"/>
        <v>0</v>
      </c>
      <c r="P27" s="270">
        <f t="shared" si="21"/>
        <v>0</v>
      </c>
      <c r="Q27" s="278"/>
    </row>
    <row r="28" ht="15.75" customHeight="1">
      <c r="A28" s="146" t="s">
        <v>401</v>
      </c>
      <c r="B28" s="146">
        <v>6.0</v>
      </c>
      <c r="C28" s="146">
        <v>12.0</v>
      </c>
      <c r="D28" s="274">
        <f t="shared" si="14"/>
        <v>72</v>
      </c>
      <c r="E28" s="203">
        <v>3.67</v>
      </c>
      <c r="F28" s="203">
        <v>5.0</v>
      </c>
      <c r="G28" s="203"/>
      <c r="H28" s="203">
        <v>6.0</v>
      </c>
      <c r="I28" s="268">
        <f t="shared" si="15"/>
        <v>72</v>
      </c>
      <c r="J28" s="203">
        <v>0.0</v>
      </c>
      <c r="K28" s="274">
        <f t="shared" si="16"/>
        <v>0</v>
      </c>
      <c r="L28" s="276">
        <f t="shared" si="17"/>
        <v>0</v>
      </c>
      <c r="M28" s="274">
        <f t="shared" si="18"/>
        <v>0</v>
      </c>
      <c r="N28" s="268">
        <f t="shared" si="19"/>
        <v>264.24</v>
      </c>
      <c r="O28" s="268">
        <f t="shared" si="20"/>
        <v>360</v>
      </c>
      <c r="P28" s="270">
        <f t="shared" si="21"/>
        <v>95.76</v>
      </c>
      <c r="Q28" s="278"/>
    </row>
    <row r="29" ht="15.75" customHeight="1">
      <c r="A29" s="146" t="s">
        <v>402</v>
      </c>
      <c r="B29" s="146">
        <v>3.0</v>
      </c>
      <c r="C29" s="146">
        <v>12.0</v>
      </c>
      <c r="D29" s="274">
        <f t="shared" si="14"/>
        <v>36</v>
      </c>
      <c r="E29" s="203">
        <v>3.08</v>
      </c>
      <c r="F29" s="203">
        <v>4.0</v>
      </c>
      <c r="G29" s="203"/>
      <c r="H29" s="203">
        <v>3.0</v>
      </c>
      <c r="I29" s="268">
        <f t="shared" si="15"/>
        <v>36</v>
      </c>
      <c r="J29" s="203">
        <v>0.0</v>
      </c>
      <c r="K29" s="274">
        <f t="shared" si="16"/>
        <v>0</v>
      </c>
      <c r="L29" s="276">
        <f t="shared" si="17"/>
        <v>0</v>
      </c>
      <c r="M29" s="274">
        <f t="shared" si="18"/>
        <v>0</v>
      </c>
      <c r="N29" s="268">
        <f t="shared" si="19"/>
        <v>110.88</v>
      </c>
      <c r="O29" s="268">
        <f t="shared" si="20"/>
        <v>144</v>
      </c>
      <c r="P29" s="270">
        <f t="shared" si="21"/>
        <v>33.12</v>
      </c>
      <c r="Q29" s="278"/>
    </row>
    <row r="30" ht="15.75" customHeight="1">
      <c r="A30" s="146" t="s">
        <v>403</v>
      </c>
      <c r="B30" s="146">
        <v>1.0</v>
      </c>
      <c r="C30" s="146">
        <v>18.0</v>
      </c>
      <c r="D30" s="274">
        <f t="shared" si="14"/>
        <v>18</v>
      </c>
      <c r="E30" s="146">
        <v>14.0</v>
      </c>
      <c r="F30" s="146">
        <v>16.0</v>
      </c>
      <c r="G30" s="146"/>
      <c r="H30" s="146">
        <v>1.0</v>
      </c>
      <c r="I30" s="268">
        <f t="shared" si="15"/>
        <v>18</v>
      </c>
      <c r="J30" s="94"/>
      <c r="K30" s="155">
        <f t="shared" si="16"/>
        <v>0</v>
      </c>
      <c r="L30" s="276">
        <f t="shared" si="17"/>
        <v>0</v>
      </c>
      <c r="M30" s="274">
        <f t="shared" si="18"/>
        <v>0</v>
      </c>
      <c r="N30" s="268">
        <f t="shared" si="19"/>
        <v>252</v>
      </c>
      <c r="O30" s="268">
        <f t="shared" si="20"/>
        <v>288</v>
      </c>
      <c r="P30" s="270">
        <f t="shared" si="21"/>
        <v>36</v>
      </c>
      <c r="Q30" s="278"/>
    </row>
    <row r="31" ht="15.75" customHeight="1">
      <c r="A31" s="183" t="s">
        <v>338</v>
      </c>
      <c r="B31" s="184"/>
      <c r="C31" s="184"/>
      <c r="D31" s="274">
        <f t="shared" si="14"/>
        <v>0</v>
      </c>
      <c r="E31" s="184"/>
      <c r="F31" s="184"/>
      <c r="G31" s="184"/>
      <c r="H31" s="184"/>
      <c r="I31" s="268">
        <f t="shared" si="15"/>
        <v>0</v>
      </c>
      <c r="J31" s="184"/>
      <c r="K31" s="264">
        <f t="shared" si="16"/>
        <v>0</v>
      </c>
      <c r="L31" s="257">
        <f t="shared" si="17"/>
        <v>0</v>
      </c>
      <c r="M31" s="184"/>
      <c r="N31" s="184">
        <f t="shared" ref="N31:P31" si="22">sum(N18:N30)</f>
        <v>1811.66</v>
      </c>
      <c r="O31" s="184">
        <f t="shared" si="22"/>
        <v>2663</v>
      </c>
      <c r="P31" s="184">
        <f t="shared" si="22"/>
        <v>851.34</v>
      </c>
      <c r="Q31" s="279">
        <v>12.0</v>
      </c>
    </row>
    <row r="32" ht="15.75" customHeight="1">
      <c r="A32" s="208" t="s">
        <v>339</v>
      </c>
      <c r="B32" s="208"/>
      <c r="C32" s="208"/>
      <c r="D32" s="208">
        <f>B32*C32</f>
        <v>0</v>
      </c>
      <c r="E32" s="208"/>
      <c r="F32" s="208"/>
      <c r="G32" s="208"/>
      <c r="H32" s="208"/>
      <c r="I32" s="208">
        <f t="shared" si="15"/>
        <v>0</v>
      </c>
      <c r="J32" s="208"/>
      <c r="K32" s="166">
        <f t="shared" si="16"/>
        <v>0</v>
      </c>
      <c r="L32" s="209">
        <f>(B32+$J$14)-H32</f>
        <v>0</v>
      </c>
      <c r="M32" s="210">
        <f>(D32+K32)-I32</f>
        <v>0</v>
      </c>
      <c r="N32" s="184">
        <f t="shared" ref="N32:P32" si="23">SUM(N31+N17+N6)
</f>
        <v>4845.15</v>
      </c>
      <c r="O32" s="184">
        <f t="shared" si="23"/>
        <v>7404</v>
      </c>
      <c r="P32" s="184">
        <f t="shared" si="23"/>
        <v>2558.85</v>
      </c>
      <c r="Q32" s="211"/>
    </row>
    <row r="33" ht="15.75" customHeight="1">
      <c r="A33" s="146"/>
      <c r="B33" s="94"/>
      <c r="C33" s="94"/>
      <c r="D33" s="274">
        <f t="shared" ref="D33:D79" si="24">C33*B33</f>
        <v>0</v>
      </c>
      <c r="E33" s="94"/>
      <c r="F33" s="94"/>
      <c r="G33" s="94"/>
      <c r="H33" s="94"/>
      <c r="I33" s="268">
        <f t="shared" si="15"/>
        <v>0</v>
      </c>
      <c r="J33" s="94"/>
      <c r="K33" s="155">
        <f t="shared" si="16"/>
        <v>0</v>
      </c>
      <c r="L33" s="276">
        <f t="shared" ref="L33:L79" si="25">(B33+J33)-H33</f>
        <v>0</v>
      </c>
      <c r="M33" s="94"/>
      <c r="N33" s="94"/>
      <c r="O33" s="94"/>
      <c r="P33" s="94"/>
      <c r="Q33" s="278"/>
    </row>
    <row r="34" ht="15.75" customHeight="1">
      <c r="A34" s="146" t="s">
        <v>404</v>
      </c>
      <c r="B34" s="146">
        <v>1.0</v>
      </c>
      <c r="C34" s="146">
        <v>12.0</v>
      </c>
      <c r="D34" s="274">
        <f t="shared" si="24"/>
        <v>12</v>
      </c>
      <c r="E34" s="146">
        <v>4.75</v>
      </c>
      <c r="F34" s="146">
        <v>6.0</v>
      </c>
      <c r="G34" s="94"/>
      <c r="H34" s="94"/>
      <c r="I34" s="268">
        <f t="shared" si="15"/>
        <v>0</v>
      </c>
      <c r="J34" s="94"/>
      <c r="K34" s="268">
        <f t="shared" si="16"/>
        <v>0</v>
      </c>
      <c r="L34" s="276">
        <f t="shared" si="25"/>
        <v>1</v>
      </c>
      <c r="M34" s="94">
        <f t="shared" ref="M34:M57" si="26">(D34+K34)-I34</f>
        <v>12</v>
      </c>
      <c r="N34" s="94">
        <f t="shared" ref="N34:N46" si="27">(D34 + K34 - M34) * E34</f>
        <v>0</v>
      </c>
      <c r="O34" s="94">
        <f t="shared" ref="O34:O46" si="28">(I34*F34)</f>
        <v>0</v>
      </c>
      <c r="P34" s="94">
        <f t="shared" ref="P34:P46" si="29">O34-N34</f>
        <v>0</v>
      </c>
      <c r="Q34" s="247"/>
    </row>
    <row r="35" ht="15.75" customHeight="1">
      <c r="A35" s="146" t="s">
        <v>405</v>
      </c>
      <c r="B35" s="146">
        <v>3.0</v>
      </c>
      <c r="C35" s="146">
        <v>15.0</v>
      </c>
      <c r="D35" s="274">
        <f t="shared" si="24"/>
        <v>45</v>
      </c>
      <c r="E35" s="146">
        <v>2.47</v>
      </c>
      <c r="F35" s="146">
        <v>5.0</v>
      </c>
      <c r="G35" s="146"/>
      <c r="H35" s="146">
        <v>3.0</v>
      </c>
      <c r="I35" s="268">
        <f t="shared" si="15"/>
        <v>45</v>
      </c>
      <c r="J35" s="146">
        <v>0.0</v>
      </c>
      <c r="K35" s="268">
        <f t="shared" si="16"/>
        <v>0</v>
      </c>
      <c r="L35" s="276">
        <f t="shared" si="25"/>
        <v>0</v>
      </c>
      <c r="M35" s="94">
        <f t="shared" si="26"/>
        <v>0</v>
      </c>
      <c r="N35" s="94">
        <f t="shared" si="27"/>
        <v>111.15</v>
      </c>
      <c r="O35" s="94">
        <f t="shared" si="28"/>
        <v>225</v>
      </c>
      <c r="P35" s="94">
        <f t="shared" si="29"/>
        <v>113.85</v>
      </c>
      <c r="Q35" s="247"/>
    </row>
    <row r="36" ht="15.75" customHeight="1">
      <c r="A36" s="146" t="s">
        <v>401</v>
      </c>
      <c r="B36" s="146">
        <v>8.0</v>
      </c>
      <c r="C36" s="146">
        <v>12.0</v>
      </c>
      <c r="D36" s="274">
        <f t="shared" si="24"/>
        <v>96</v>
      </c>
      <c r="E36" s="146">
        <v>3.67</v>
      </c>
      <c r="F36" s="146">
        <v>5.0</v>
      </c>
      <c r="G36" s="146"/>
      <c r="H36" s="146">
        <v>8.0</v>
      </c>
      <c r="I36" s="268">
        <f t="shared" si="15"/>
        <v>96</v>
      </c>
      <c r="J36" s="146">
        <v>0.0</v>
      </c>
      <c r="K36" s="268">
        <f t="shared" si="16"/>
        <v>0</v>
      </c>
      <c r="L36" s="276">
        <f t="shared" si="25"/>
        <v>0</v>
      </c>
      <c r="M36" s="94">
        <f t="shared" si="26"/>
        <v>0</v>
      </c>
      <c r="N36" s="94">
        <f t="shared" si="27"/>
        <v>352.32</v>
      </c>
      <c r="O36" s="94">
        <f t="shared" si="28"/>
        <v>480</v>
      </c>
      <c r="P36" s="94">
        <f t="shared" si="29"/>
        <v>127.68</v>
      </c>
      <c r="Q36" s="247"/>
    </row>
    <row r="37" ht="15.75" customHeight="1">
      <c r="A37" s="146" t="s">
        <v>393</v>
      </c>
      <c r="B37" s="146">
        <v>13.0</v>
      </c>
      <c r="C37" s="146">
        <v>12.0</v>
      </c>
      <c r="D37" s="274">
        <f t="shared" si="24"/>
        <v>156</v>
      </c>
      <c r="E37" s="146">
        <v>2.6</v>
      </c>
      <c r="F37" s="146">
        <v>4.0</v>
      </c>
      <c r="G37" s="146"/>
      <c r="H37" s="146">
        <v>13.0</v>
      </c>
      <c r="I37" s="268">
        <f t="shared" si="15"/>
        <v>156</v>
      </c>
      <c r="J37" s="146">
        <v>0.0</v>
      </c>
      <c r="K37" s="268">
        <f t="shared" si="16"/>
        <v>0</v>
      </c>
      <c r="L37" s="276">
        <f t="shared" si="25"/>
        <v>0</v>
      </c>
      <c r="M37" s="94">
        <f t="shared" si="26"/>
        <v>0</v>
      </c>
      <c r="N37" s="94">
        <f t="shared" si="27"/>
        <v>405.6</v>
      </c>
      <c r="O37" s="94">
        <f t="shared" si="28"/>
        <v>624</v>
      </c>
      <c r="P37" s="94">
        <f t="shared" si="29"/>
        <v>218.4</v>
      </c>
      <c r="Q37" s="247"/>
    </row>
    <row r="38" ht="15.75" customHeight="1">
      <c r="A38" s="146" t="s">
        <v>406</v>
      </c>
      <c r="B38" s="146">
        <v>10.0</v>
      </c>
      <c r="C38" s="146">
        <v>10.0</v>
      </c>
      <c r="D38" s="274">
        <f t="shared" si="24"/>
        <v>100</v>
      </c>
      <c r="E38" s="146">
        <v>3.2</v>
      </c>
      <c r="F38" s="146">
        <v>5.0</v>
      </c>
      <c r="G38" s="146"/>
      <c r="H38" s="146">
        <v>10.0</v>
      </c>
      <c r="I38" s="268">
        <f t="shared" si="15"/>
        <v>100</v>
      </c>
      <c r="J38" s="146">
        <v>0.0</v>
      </c>
      <c r="K38" s="268">
        <f t="shared" si="16"/>
        <v>0</v>
      </c>
      <c r="L38" s="276">
        <f t="shared" si="25"/>
        <v>0</v>
      </c>
      <c r="M38" s="94">
        <f t="shared" si="26"/>
        <v>0</v>
      </c>
      <c r="N38" s="94">
        <f t="shared" si="27"/>
        <v>320</v>
      </c>
      <c r="O38" s="94">
        <f t="shared" si="28"/>
        <v>500</v>
      </c>
      <c r="P38" s="94">
        <f t="shared" si="29"/>
        <v>180</v>
      </c>
      <c r="Q38" s="247"/>
    </row>
    <row r="39" ht="15.75" customHeight="1">
      <c r="A39" s="146" t="s">
        <v>407</v>
      </c>
      <c r="B39" s="146">
        <v>1.0</v>
      </c>
      <c r="C39" s="146">
        <v>30.0</v>
      </c>
      <c r="D39" s="274">
        <f t="shared" si="24"/>
        <v>30</v>
      </c>
      <c r="E39" s="146">
        <v>2.27</v>
      </c>
      <c r="F39" s="146">
        <v>4.0</v>
      </c>
      <c r="G39" s="94"/>
      <c r="H39" s="146">
        <v>1.0</v>
      </c>
      <c r="I39" s="268">
        <f t="shared" si="15"/>
        <v>30</v>
      </c>
      <c r="J39" s="94"/>
      <c r="K39" s="268">
        <f t="shared" si="16"/>
        <v>0</v>
      </c>
      <c r="L39" s="276">
        <f t="shared" si="25"/>
        <v>0</v>
      </c>
      <c r="M39" s="94">
        <f t="shared" si="26"/>
        <v>0</v>
      </c>
      <c r="N39" s="94">
        <f t="shared" si="27"/>
        <v>68.1</v>
      </c>
      <c r="O39" s="94">
        <f t="shared" si="28"/>
        <v>120</v>
      </c>
      <c r="P39" s="94">
        <f t="shared" si="29"/>
        <v>51.9</v>
      </c>
      <c r="Q39" s="247"/>
    </row>
    <row r="40" ht="15.75" customHeight="1">
      <c r="A40" s="146" t="s">
        <v>408</v>
      </c>
      <c r="B40" s="146">
        <v>1.0</v>
      </c>
      <c r="C40" s="146">
        <v>18.0</v>
      </c>
      <c r="D40" s="274">
        <f t="shared" si="24"/>
        <v>18</v>
      </c>
      <c r="E40" s="146">
        <v>2.16</v>
      </c>
      <c r="F40" s="146">
        <v>4.0</v>
      </c>
      <c r="G40" s="146"/>
      <c r="H40" s="146">
        <v>1.0</v>
      </c>
      <c r="I40" s="268">
        <f t="shared" si="15"/>
        <v>18</v>
      </c>
      <c r="J40" s="146"/>
      <c r="K40" s="280">
        <f t="shared" si="16"/>
        <v>0</v>
      </c>
      <c r="L40" s="276">
        <f t="shared" si="25"/>
        <v>0</v>
      </c>
      <c r="M40" s="94">
        <f t="shared" si="26"/>
        <v>0</v>
      </c>
      <c r="N40" s="94">
        <f t="shared" si="27"/>
        <v>38.88</v>
      </c>
      <c r="O40" s="94">
        <f t="shared" si="28"/>
        <v>72</v>
      </c>
      <c r="P40" s="94">
        <f t="shared" si="29"/>
        <v>33.12</v>
      </c>
      <c r="Q40" s="281"/>
    </row>
    <row r="41" ht="15.75" customHeight="1">
      <c r="A41" s="146" t="s">
        <v>409</v>
      </c>
      <c r="B41" s="146">
        <v>4.0</v>
      </c>
      <c r="C41" s="146">
        <v>18.0</v>
      </c>
      <c r="D41" s="274">
        <f t="shared" si="24"/>
        <v>72</v>
      </c>
      <c r="E41" s="146">
        <v>2.27</v>
      </c>
      <c r="F41" s="146">
        <v>4.0</v>
      </c>
      <c r="G41" s="146"/>
      <c r="H41" s="146">
        <v>4.0</v>
      </c>
      <c r="I41" s="268">
        <f t="shared" si="15"/>
        <v>72</v>
      </c>
      <c r="J41" s="146">
        <v>0.0</v>
      </c>
      <c r="K41" s="280">
        <f t="shared" si="16"/>
        <v>0</v>
      </c>
      <c r="L41" s="276">
        <f t="shared" si="25"/>
        <v>0</v>
      </c>
      <c r="M41" s="94">
        <f t="shared" si="26"/>
        <v>0</v>
      </c>
      <c r="N41" s="94">
        <f t="shared" si="27"/>
        <v>163.44</v>
      </c>
      <c r="O41" s="94">
        <f t="shared" si="28"/>
        <v>288</v>
      </c>
      <c r="P41" s="94">
        <f t="shared" si="29"/>
        <v>124.56</v>
      </c>
      <c r="Q41" s="281"/>
    </row>
    <row r="42" ht="15.75" customHeight="1">
      <c r="A42" s="146" t="s">
        <v>410</v>
      </c>
      <c r="B42" s="146">
        <v>4.0</v>
      </c>
      <c r="C42" s="146">
        <v>18.0</v>
      </c>
      <c r="D42" s="274">
        <f t="shared" si="24"/>
        <v>72</v>
      </c>
      <c r="E42" s="146">
        <v>1.55</v>
      </c>
      <c r="F42" s="146">
        <v>4.0</v>
      </c>
      <c r="G42" s="146"/>
      <c r="H42" s="146">
        <v>4.0</v>
      </c>
      <c r="I42" s="268">
        <f t="shared" si="15"/>
        <v>72</v>
      </c>
      <c r="J42" s="146">
        <v>0.0</v>
      </c>
      <c r="K42" s="280">
        <f t="shared" si="16"/>
        <v>0</v>
      </c>
      <c r="L42" s="276">
        <f t="shared" si="25"/>
        <v>0</v>
      </c>
      <c r="M42" s="94">
        <f t="shared" si="26"/>
        <v>0</v>
      </c>
      <c r="N42" s="94">
        <f t="shared" si="27"/>
        <v>111.6</v>
      </c>
      <c r="O42" s="94">
        <f t="shared" si="28"/>
        <v>288</v>
      </c>
      <c r="P42" s="94">
        <f t="shared" si="29"/>
        <v>176.4</v>
      </c>
      <c r="Q42" s="281"/>
    </row>
    <row r="43" ht="15.75" customHeight="1">
      <c r="A43" s="146" t="s">
        <v>411</v>
      </c>
      <c r="B43" s="146">
        <v>1.0</v>
      </c>
      <c r="C43" s="146">
        <v>18.0</v>
      </c>
      <c r="D43" s="274">
        <f t="shared" si="24"/>
        <v>18</v>
      </c>
      <c r="E43" s="146">
        <v>2.33</v>
      </c>
      <c r="F43" s="146">
        <v>4.0</v>
      </c>
      <c r="G43" s="146"/>
      <c r="H43" s="146">
        <v>1.0</v>
      </c>
      <c r="I43" s="268">
        <f t="shared" si="15"/>
        <v>18</v>
      </c>
      <c r="J43" s="94"/>
      <c r="K43" s="155">
        <f t="shared" si="16"/>
        <v>0</v>
      </c>
      <c r="L43" s="276">
        <f t="shared" si="25"/>
        <v>0</v>
      </c>
      <c r="M43" s="94">
        <f t="shared" si="26"/>
        <v>0</v>
      </c>
      <c r="N43" s="94">
        <f t="shared" si="27"/>
        <v>41.94</v>
      </c>
      <c r="O43" s="94">
        <f t="shared" si="28"/>
        <v>72</v>
      </c>
      <c r="P43" s="94">
        <f t="shared" si="29"/>
        <v>30.06</v>
      </c>
      <c r="Q43" s="93"/>
    </row>
    <row r="44" ht="15.75" customHeight="1">
      <c r="A44" s="146" t="s">
        <v>403</v>
      </c>
      <c r="B44" s="146">
        <v>1.0</v>
      </c>
      <c r="C44" s="146">
        <v>18.0</v>
      </c>
      <c r="D44" s="274">
        <f t="shared" si="24"/>
        <v>18</v>
      </c>
      <c r="E44" s="146">
        <v>10.0</v>
      </c>
      <c r="F44" s="146">
        <v>20.0</v>
      </c>
      <c r="G44" s="146"/>
      <c r="H44" s="146">
        <v>1.0</v>
      </c>
      <c r="I44" s="268">
        <f t="shared" si="15"/>
        <v>18</v>
      </c>
      <c r="J44" s="94"/>
      <c r="K44" s="155">
        <f t="shared" si="16"/>
        <v>0</v>
      </c>
      <c r="L44" s="276">
        <f t="shared" si="25"/>
        <v>0</v>
      </c>
      <c r="M44" s="94">
        <f t="shared" si="26"/>
        <v>0</v>
      </c>
      <c r="N44" s="94">
        <f t="shared" si="27"/>
        <v>180</v>
      </c>
      <c r="O44" s="94">
        <f t="shared" si="28"/>
        <v>360</v>
      </c>
      <c r="P44" s="94">
        <f t="shared" si="29"/>
        <v>180</v>
      </c>
      <c r="Q44" s="93"/>
    </row>
    <row r="45" ht="15.75" customHeight="1">
      <c r="A45" s="146" t="s">
        <v>403</v>
      </c>
      <c r="B45" s="146">
        <v>1.0</v>
      </c>
      <c r="C45" s="146">
        <v>18.0</v>
      </c>
      <c r="D45" s="274">
        <f t="shared" si="24"/>
        <v>18</v>
      </c>
      <c r="E45" s="146">
        <v>8.8</v>
      </c>
      <c r="F45" s="146">
        <v>20.0</v>
      </c>
      <c r="G45" s="146"/>
      <c r="H45" s="146">
        <v>1.0</v>
      </c>
      <c r="I45" s="268">
        <f t="shared" si="15"/>
        <v>18</v>
      </c>
      <c r="J45" s="94"/>
      <c r="K45" s="155">
        <f t="shared" si="16"/>
        <v>0</v>
      </c>
      <c r="L45" s="276">
        <f t="shared" si="25"/>
        <v>0</v>
      </c>
      <c r="M45" s="94">
        <f t="shared" si="26"/>
        <v>0</v>
      </c>
      <c r="N45" s="94">
        <f t="shared" si="27"/>
        <v>158.4</v>
      </c>
      <c r="O45" s="94">
        <f t="shared" si="28"/>
        <v>360</v>
      </c>
      <c r="P45" s="94">
        <f t="shared" si="29"/>
        <v>201.6</v>
      </c>
      <c r="Q45" s="93"/>
    </row>
    <row r="46" ht="15.75" customHeight="1">
      <c r="A46" s="146" t="s">
        <v>412</v>
      </c>
      <c r="B46" s="146">
        <v>1.0</v>
      </c>
      <c r="C46" s="146">
        <v>10.0</v>
      </c>
      <c r="D46" s="274">
        <f t="shared" si="24"/>
        <v>10</v>
      </c>
      <c r="E46" s="146">
        <v>8.8</v>
      </c>
      <c r="F46" s="146">
        <v>10.0</v>
      </c>
      <c r="G46" s="146"/>
      <c r="H46" s="146">
        <v>0.4</v>
      </c>
      <c r="I46" s="268">
        <f t="shared" si="15"/>
        <v>4</v>
      </c>
      <c r="J46" s="94"/>
      <c r="K46" s="155">
        <f t="shared" si="16"/>
        <v>0</v>
      </c>
      <c r="L46" s="276">
        <f t="shared" si="25"/>
        <v>0.6</v>
      </c>
      <c r="M46" s="94">
        <f t="shared" si="26"/>
        <v>6</v>
      </c>
      <c r="N46" s="94">
        <f t="shared" si="27"/>
        <v>35.2</v>
      </c>
      <c r="O46" s="94">
        <f t="shared" si="28"/>
        <v>40</v>
      </c>
      <c r="P46" s="94">
        <f t="shared" si="29"/>
        <v>4.8</v>
      </c>
      <c r="Q46" s="93"/>
    </row>
    <row r="47" ht="15.75" customHeight="1">
      <c r="A47" s="183" t="s">
        <v>413</v>
      </c>
      <c r="B47" s="184"/>
      <c r="C47" s="184"/>
      <c r="D47" s="274">
        <f t="shared" si="24"/>
        <v>0</v>
      </c>
      <c r="E47" s="184"/>
      <c r="F47" s="184"/>
      <c r="G47" s="184"/>
      <c r="H47" s="184"/>
      <c r="I47" s="268">
        <f t="shared" si="15"/>
        <v>0</v>
      </c>
      <c r="J47" s="184"/>
      <c r="K47" s="264">
        <f t="shared" si="16"/>
        <v>0</v>
      </c>
      <c r="L47" s="257">
        <f t="shared" si="25"/>
        <v>0</v>
      </c>
      <c r="M47" s="94">
        <f t="shared" si="26"/>
        <v>0</v>
      </c>
      <c r="N47" s="184">
        <f t="shared" ref="N47:P47" si="30">sum(N34:N46)</f>
        <v>1986.63</v>
      </c>
      <c r="O47" s="184">
        <f t="shared" si="30"/>
        <v>3429</v>
      </c>
      <c r="P47" s="184">
        <f t="shared" si="30"/>
        <v>1442.37</v>
      </c>
      <c r="Q47" s="282"/>
    </row>
    <row r="48" ht="15.75" customHeight="1">
      <c r="A48" s="146" t="s">
        <v>414</v>
      </c>
      <c r="B48" s="146">
        <v>1.0</v>
      </c>
      <c r="C48" s="146">
        <v>18.0</v>
      </c>
      <c r="D48" s="274">
        <f t="shared" si="24"/>
        <v>18</v>
      </c>
      <c r="E48" s="146">
        <v>13.4</v>
      </c>
      <c r="F48" s="146">
        <v>20.0</v>
      </c>
      <c r="G48" s="94" t="str">
        <f t="shared" ref="G48:G57" si="31">((F48-E48)/F48)*100 &amp; "%"</f>
        <v>33.%</v>
      </c>
      <c r="H48" s="146">
        <v>1.0</v>
      </c>
      <c r="I48" s="268">
        <f t="shared" si="15"/>
        <v>18</v>
      </c>
      <c r="J48" s="94"/>
      <c r="K48" s="268">
        <f t="shared" si="16"/>
        <v>0</v>
      </c>
      <c r="L48" s="276">
        <f t="shared" si="25"/>
        <v>0</v>
      </c>
      <c r="M48" s="94">
        <f t="shared" si="26"/>
        <v>0</v>
      </c>
      <c r="N48" s="94">
        <f t="shared" ref="N48:N57" si="32">(D48 + K48 - M48) * E48</f>
        <v>241.2</v>
      </c>
      <c r="O48" s="94">
        <f t="shared" ref="O48:O57" si="33">(I48*F48)</f>
        <v>360</v>
      </c>
      <c r="P48" s="94">
        <f t="shared" ref="P48:P57" si="34">O48-N48</f>
        <v>118.8</v>
      </c>
      <c r="Q48" s="283"/>
    </row>
    <row r="49" ht="15.75" customHeight="1">
      <c r="A49" s="146" t="s">
        <v>414</v>
      </c>
      <c r="B49" s="146">
        <v>2.0</v>
      </c>
      <c r="C49" s="146">
        <v>18.0</v>
      </c>
      <c r="D49" s="274">
        <f t="shared" si="24"/>
        <v>36</v>
      </c>
      <c r="E49" s="146">
        <v>13.3</v>
      </c>
      <c r="F49" s="146">
        <v>20.0</v>
      </c>
      <c r="G49" s="94" t="str">
        <f t="shared" si="31"/>
        <v>33.5%</v>
      </c>
      <c r="H49" s="146">
        <v>2.0</v>
      </c>
      <c r="I49" s="268">
        <f t="shared" si="15"/>
        <v>36</v>
      </c>
      <c r="J49" s="146">
        <v>0.0</v>
      </c>
      <c r="K49" s="268">
        <f t="shared" si="16"/>
        <v>0</v>
      </c>
      <c r="L49" s="276">
        <f t="shared" si="25"/>
        <v>0</v>
      </c>
      <c r="M49" s="94">
        <f t="shared" si="26"/>
        <v>0</v>
      </c>
      <c r="N49" s="94">
        <f t="shared" si="32"/>
        <v>478.8</v>
      </c>
      <c r="O49" s="94">
        <f t="shared" si="33"/>
        <v>720</v>
      </c>
      <c r="P49" s="94">
        <f t="shared" si="34"/>
        <v>241.2</v>
      </c>
      <c r="Q49" s="283"/>
    </row>
    <row r="50" ht="15.75" customHeight="1">
      <c r="A50" s="146" t="s">
        <v>409</v>
      </c>
      <c r="B50" s="146">
        <v>3.0</v>
      </c>
      <c r="C50" s="146">
        <v>18.0</v>
      </c>
      <c r="D50" s="274">
        <f t="shared" si="24"/>
        <v>54</v>
      </c>
      <c r="E50" s="146">
        <v>2.33</v>
      </c>
      <c r="F50" s="146">
        <v>4.0</v>
      </c>
      <c r="G50" s="94" t="str">
        <f t="shared" si="31"/>
        <v>41.75%</v>
      </c>
      <c r="H50" s="146">
        <v>3.0</v>
      </c>
      <c r="I50" s="268">
        <f t="shared" si="15"/>
        <v>54</v>
      </c>
      <c r="J50" s="146">
        <v>0.0</v>
      </c>
      <c r="K50" s="268">
        <f t="shared" si="16"/>
        <v>0</v>
      </c>
      <c r="L50" s="276">
        <f t="shared" si="25"/>
        <v>0</v>
      </c>
      <c r="M50" s="94">
        <f t="shared" si="26"/>
        <v>0</v>
      </c>
      <c r="N50" s="94">
        <f t="shared" si="32"/>
        <v>125.82</v>
      </c>
      <c r="O50" s="94">
        <f t="shared" si="33"/>
        <v>216</v>
      </c>
      <c r="P50" s="94">
        <f t="shared" si="34"/>
        <v>90.18</v>
      </c>
      <c r="Q50" s="283"/>
    </row>
    <row r="51" ht="15.75" customHeight="1">
      <c r="A51" s="146" t="s">
        <v>415</v>
      </c>
      <c r="B51" s="146">
        <v>1.0</v>
      </c>
      <c r="C51" s="146">
        <v>18.0</v>
      </c>
      <c r="D51" s="274">
        <f t="shared" si="24"/>
        <v>18</v>
      </c>
      <c r="E51" s="146">
        <v>1.55</v>
      </c>
      <c r="F51" s="146">
        <v>4.0</v>
      </c>
      <c r="G51" s="94" t="str">
        <f t="shared" si="31"/>
        <v>61.25%</v>
      </c>
      <c r="H51" s="146">
        <v>1.0</v>
      </c>
      <c r="I51" s="268">
        <f t="shared" si="15"/>
        <v>18</v>
      </c>
      <c r="J51" s="94"/>
      <c r="K51" s="268">
        <f t="shared" si="16"/>
        <v>0</v>
      </c>
      <c r="L51" s="276">
        <f t="shared" si="25"/>
        <v>0</v>
      </c>
      <c r="M51" s="94">
        <f t="shared" si="26"/>
        <v>0</v>
      </c>
      <c r="N51" s="94">
        <f t="shared" si="32"/>
        <v>27.9</v>
      </c>
      <c r="O51" s="94">
        <f t="shared" si="33"/>
        <v>72</v>
      </c>
      <c r="P51" s="94">
        <f t="shared" si="34"/>
        <v>44.1</v>
      </c>
      <c r="Q51" s="283"/>
    </row>
    <row r="52" ht="15.75" customHeight="1">
      <c r="A52" s="146" t="s">
        <v>393</v>
      </c>
      <c r="B52" s="146">
        <v>18.0</v>
      </c>
      <c r="C52" s="146">
        <v>12.0</v>
      </c>
      <c r="D52" s="274">
        <f t="shared" si="24"/>
        <v>216</v>
      </c>
      <c r="E52" s="146">
        <v>2.66</v>
      </c>
      <c r="F52" s="146">
        <v>4.0</v>
      </c>
      <c r="G52" s="94" t="str">
        <f t="shared" si="31"/>
        <v>33.5%</v>
      </c>
      <c r="H52" s="146">
        <v>18.0</v>
      </c>
      <c r="I52" s="268">
        <f t="shared" si="15"/>
        <v>216</v>
      </c>
      <c r="J52" s="146">
        <v>0.0</v>
      </c>
      <c r="K52" s="268">
        <f t="shared" si="16"/>
        <v>0</v>
      </c>
      <c r="L52" s="276">
        <f t="shared" si="25"/>
        <v>0</v>
      </c>
      <c r="M52" s="94">
        <f t="shared" si="26"/>
        <v>0</v>
      </c>
      <c r="N52" s="94">
        <f t="shared" si="32"/>
        <v>574.56</v>
      </c>
      <c r="O52" s="94">
        <f t="shared" si="33"/>
        <v>864</v>
      </c>
      <c r="P52" s="94">
        <f t="shared" si="34"/>
        <v>289.44</v>
      </c>
      <c r="Q52" s="283"/>
    </row>
    <row r="53" ht="15.75" customHeight="1">
      <c r="A53" s="146" t="s">
        <v>416</v>
      </c>
      <c r="B53" s="146">
        <v>9.0</v>
      </c>
      <c r="C53" s="146">
        <v>20.0</v>
      </c>
      <c r="D53" s="274">
        <f t="shared" si="24"/>
        <v>180</v>
      </c>
      <c r="E53" s="146">
        <v>3.2</v>
      </c>
      <c r="F53" s="146">
        <v>5.0</v>
      </c>
      <c r="G53" s="94" t="str">
        <f t="shared" si="31"/>
        <v>36%</v>
      </c>
      <c r="H53" s="146">
        <v>9.0</v>
      </c>
      <c r="I53" s="268">
        <f t="shared" si="15"/>
        <v>180</v>
      </c>
      <c r="J53" s="146">
        <v>0.0</v>
      </c>
      <c r="K53" s="268">
        <f t="shared" si="16"/>
        <v>0</v>
      </c>
      <c r="L53" s="276">
        <f t="shared" si="25"/>
        <v>0</v>
      </c>
      <c r="M53" s="94">
        <f t="shared" si="26"/>
        <v>0</v>
      </c>
      <c r="N53" s="94">
        <f t="shared" si="32"/>
        <v>576</v>
      </c>
      <c r="O53" s="94">
        <f t="shared" si="33"/>
        <v>900</v>
      </c>
      <c r="P53" s="94">
        <f t="shared" si="34"/>
        <v>324</v>
      </c>
      <c r="Q53" s="283"/>
    </row>
    <row r="54" ht="15.75" customHeight="1">
      <c r="A54" s="146" t="s">
        <v>417</v>
      </c>
      <c r="B54" s="146">
        <v>1.0</v>
      </c>
      <c r="C54" s="146">
        <v>10.0</v>
      </c>
      <c r="D54" s="274">
        <f t="shared" si="24"/>
        <v>10</v>
      </c>
      <c r="E54" s="146">
        <v>4.0</v>
      </c>
      <c r="F54" s="146">
        <v>5.0</v>
      </c>
      <c r="G54" s="94" t="str">
        <f t="shared" si="31"/>
        <v>20%</v>
      </c>
      <c r="H54" s="146">
        <v>1.0</v>
      </c>
      <c r="I54" s="268">
        <f t="shared" si="15"/>
        <v>10</v>
      </c>
      <c r="J54" s="94"/>
      <c r="K54" s="268">
        <f t="shared" si="16"/>
        <v>0</v>
      </c>
      <c r="L54" s="276">
        <f t="shared" si="25"/>
        <v>0</v>
      </c>
      <c r="M54" s="94">
        <f t="shared" si="26"/>
        <v>0</v>
      </c>
      <c r="N54" s="94">
        <f t="shared" si="32"/>
        <v>40</v>
      </c>
      <c r="O54" s="94">
        <f t="shared" si="33"/>
        <v>50</v>
      </c>
      <c r="P54" s="94">
        <f t="shared" si="34"/>
        <v>10</v>
      </c>
      <c r="Q54" s="283"/>
    </row>
    <row r="55" ht="15.75" customHeight="1">
      <c r="A55" s="146" t="s">
        <v>418</v>
      </c>
      <c r="B55" s="146">
        <v>2.0</v>
      </c>
      <c r="C55" s="146">
        <v>12.0</v>
      </c>
      <c r="D55" s="274">
        <f t="shared" si="24"/>
        <v>24</v>
      </c>
      <c r="E55" s="146">
        <v>4.42</v>
      </c>
      <c r="F55" s="146">
        <v>6.0</v>
      </c>
      <c r="G55" s="94" t="str">
        <f t="shared" si="31"/>
        <v>26.3333333333333%</v>
      </c>
      <c r="H55" s="146">
        <v>2.0</v>
      </c>
      <c r="I55" s="268">
        <f t="shared" si="15"/>
        <v>24</v>
      </c>
      <c r="J55" s="146">
        <v>0.0</v>
      </c>
      <c r="K55" s="268">
        <f t="shared" si="16"/>
        <v>0</v>
      </c>
      <c r="L55" s="276">
        <f t="shared" si="25"/>
        <v>0</v>
      </c>
      <c r="M55" s="94">
        <f t="shared" si="26"/>
        <v>0</v>
      </c>
      <c r="N55" s="94">
        <f t="shared" si="32"/>
        <v>106.08</v>
      </c>
      <c r="O55" s="94">
        <f t="shared" si="33"/>
        <v>144</v>
      </c>
      <c r="P55" s="94">
        <f t="shared" si="34"/>
        <v>37.92</v>
      </c>
      <c r="Q55" s="283"/>
    </row>
    <row r="56" ht="15.75" customHeight="1">
      <c r="A56" s="146" t="s">
        <v>419</v>
      </c>
      <c r="B56" s="146">
        <v>1.0</v>
      </c>
      <c r="C56" s="146">
        <v>12.0</v>
      </c>
      <c r="D56" s="274">
        <f t="shared" si="24"/>
        <v>12</v>
      </c>
      <c r="E56" s="146">
        <v>4.25</v>
      </c>
      <c r="F56" s="146">
        <v>6.0</v>
      </c>
      <c r="G56" s="94" t="str">
        <f t="shared" si="31"/>
        <v>29.1666666666667%</v>
      </c>
      <c r="H56" s="146">
        <v>1.0</v>
      </c>
      <c r="I56" s="268">
        <f t="shared" si="15"/>
        <v>12</v>
      </c>
      <c r="J56" s="146"/>
      <c r="K56" s="268">
        <f t="shared" si="16"/>
        <v>0</v>
      </c>
      <c r="L56" s="276">
        <f t="shared" si="25"/>
        <v>0</v>
      </c>
      <c r="M56" s="94">
        <f t="shared" si="26"/>
        <v>0</v>
      </c>
      <c r="N56" s="94">
        <f t="shared" si="32"/>
        <v>51</v>
      </c>
      <c r="O56" s="94">
        <f t="shared" si="33"/>
        <v>72</v>
      </c>
      <c r="P56" s="94">
        <f t="shared" si="34"/>
        <v>21</v>
      </c>
      <c r="Q56" s="283"/>
    </row>
    <row r="57" ht="15.75" customHeight="1">
      <c r="A57" s="146" t="s">
        <v>420</v>
      </c>
      <c r="B57" s="146">
        <v>1.0</v>
      </c>
      <c r="C57" s="146">
        <v>12.0</v>
      </c>
      <c r="D57" s="274">
        <f t="shared" si="24"/>
        <v>12</v>
      </c>
      <c r="E57" s="146">
        <v>2.5</v>
      </c>
      <c r="F57" s="146">
        <v>4.0</v>
      </c>
      <c r="G57" s="94" t="str">
        <f t="shared" si="31"/>
        <v>37.5%</v>
      </c>
      <c r="H57" s="146">
        <v>1.0</v>
      </c>
      <c r="I57" s="268">
        <f t="shared" si="15"/>
        <v>12</v>
      </c>
      <c r="J57" s="146"/>
      <c r="K57" s="268">
        <f t="shared" si="16"/>
        <v>0</v>
      </c>
      <c r="L57" s="276">
        <f t="shared" si="25"/>
        <v>0</v>
      </c>
      <c r="M57" s="94">
        <f t="shared" si="26"/>
        <v>0</v>
      </c>
      <c r="N57" s="94">
        <f t="shared" si="32"/>
        <v>30</v>
      </c>
      <c r="O57" s="94">
        <f t="shared" si="33"/>
        <v>48</v>
      </c>
      <c r="P57" s="94">
        <f t="shared" si="34"/>
        <v>18</v>
      </c>
      <c r="Q57" s="283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 ht="15.75" customHeight="1">
      <c r="A58" s="183" t="s">
        <v>421</v>
      </c>
      <c r="B58" s="184"/>
      <c r="C58" s="184"/>
      <c r="D58" s="274">
        <f t="shared" si="24"/>
        <v>0</v>
      </c>
      <c r="E58" s="184"/>
      <c r="F58" s="184"/>
      <c r="G58" s="184"/>
      <c r="H58" s="184"/>
      <c r="I58" s="268">
        <f t="shared" si="15"/>
        <v>0</v>
      </c>
      <c r="J58" s="184"/>
      <c r="K58" s="264">
        <f t="shared" si="16"/>
        <v>0</v>
      </c>
      <c r="L58" s="257">
        <f t="shared" si="25"/>
        <v>0</v>
      </c>
      <c r="M58" s="184"/>
      <c r="N58" s="184">
        <f t="shared" ref="N58:P58" si="35">sum(N48:N57)</f>
        <v>2251.36</v>
      </c>
      <c r="O58" s="184">
        <f t="shared" si="35"/>
        <v>3446</v>
      </c>
      <c r="P58" s="184">
        <f t="shared" si="35"/>
        <v>1194.64</v>
      </c>
      <c r="Q58" s="282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 ht="15.75" customHeight="1">
      <c r="A59" s="284" t="s">
        <v>393</v>
      </c>
      <c r="B59" s="214">
        <v>18.0</v>
      </c>
      <c r="C59" s="215">
        <v>12.0</v>
      </c>
      <c r="D59" s="285">
        <f t="shared" si="24"/>
        <v>216</v>
      </c>
      <c r="E59" s="215">
        <v>2.66</v>
      </c>
      <c r="F59" s="215">
        <v>4.0</v>
      </c>
      <c r="G59" s="217" t="str">
        <f t="shared" ref="G59:G68" si="36">((F59-E59)/F59)*100 &amp; "%"</f>
        <v>33.5%</v>
      </c>
      <c r="H59" s="286">
        <v>18.0</v>
      </c>
      <c r="I59" s="287">
        <f t="shared" si="15"/>
        <v>216</v>
      </c>
      <c r="J59" s="214">
        <v>0.0</v>
      </c>
      <c r="K59" s="287">
        <f t="shared" si="16"/>
        <v>0</v>
      </c>
      <c r="L59" s="288">
        <f t="shared" si="25"/>
        <v>0</v>
      </c>
      <c r="M59" s="274">
        <f t="shared" ref="M59:M68" si="37">(D59+K59)-I59</f>
        <v>0</v>
      </c>
      <c r="N59" s="289">
        <f t="shared" ref="N59:N68" si="38">(D59 + K59 - M59) * E59</f>
        <v>574.56</v>
      </c>
      <c r="O59" s="268">
        <f t="shared" ref="O59:O68" si="39">(I59*F59)</f>
        <v>864</v>
      </c>
      <c r="P59" s="270">
        <f t="shared" ref="P59:P68" si="40">O59-N59</f>
        <v>289.44</v>
      </c>
      <c r="Q59" s="290"/>
    </row>
    <row r="60" ht="15.75" customHeight="1">
      <c r="A60" s="291" t="s">
        <v>416</v>
      </c>
      <c r="B60" s="224">
        <v>5.0</v>
      </c>
      <c r="C60" s="225">
        <v>20.0</v>
      </c>
      <c r="D60" s="292">
        <f t="shared" si="24"/>
        <v>100</v>
      </c>
      <c r="E60" s="146">
        <v>3.2</v>
      </c>
      <c r="F60" s="224">
        <v>5.0</v>
      </c>
      <c r="G60" s="228" t="str">
        <f t="shared" si="36"/>
        <v>36%</v>
      </c>
      <c r="H60" s="293">
        <v>5.0</v>
      </c>
      <c r="I60" s="294">
        <f t="shared" si="15"/>
        <v>100</v>
      </c>
      <c r="J60" s="224">
        <v>0.0</v>
      </c>
      <c r="K60" s="294">
        <f t="shared" si="16"/>
        <v>0</v>
      </c>
      <c r="L60" s="288">
        <f t="shared" si="25"/>
        <v>0</v>
      </c>
      <c r="M60" s="274">
        <f t="shared" si="37"/>
        <v>0</v>
      </c>
      <c r="N60" s="289">
        <f t="shared" si="38"/>
        <v>320</v>
      </c>
      <c r="O60" s="268">
        <f t="shared" si="39"/>
        <v>500</v>
      </c>
      <c r="P60" s="270">
        <f t="shared" si="40"/>
        <v>180</v>
      </c>
      <c r="Q60" s="295"/>
    </row>
    <row r="61" ht="15.75" customHeight="1">
      <c r="A61" s="146" t="s">
        <v>397</v>
      </c>
      <c r="B61" s="202">
        <v>1.0</v>
      </c>
      <c r="C61" s="203">
        <v>15.0</v>
      </c>
      <c r="D61" s="274">
        <f t="shared" si="24"/>
        <v>15</v>
      </c>
      <c r="E61" s="203">
        <v>2.06</v>
      </c>
      <c r="F61" s="203">
        <v>3.0</v>
      </c>
      <c r="G61" s="217" t="str">
        <f t="shared" si="36"/>
        <v>31.3333333333333%</v>
      </c>
      <c r="H61" s="203">
        <v>1.0</v>
      </c>
      <c r="I61" s="268">
        <f t="shared" si="15"/>
        <v>15</v>
      </c>
      <c r="J61" s="203"/>
      <c r="K61" s="274">
        <f t="shared" si="16"/>
        <v>0</v>
      </c>
      <c r="L61" s="275">
        <f t="shared" si="25"/>
        <v>0</v>
      </c>
      <c r="M61" s="274">
        <f t="shared" si="37"/>
        <v>0</v>
      </c>
      <c r="N61" s="289">
        <f t="shared" si="38"/>
        <v>30.9</v>
      </c>
      <c r="O61" s="268">
        <f t="shared" si="39"/>
        <v>45</v>
      </c>
      <c r="P61" s="270">
        <f t="shared" si="40"/>
        <v>14.1</v>
      </c>
      <c r="Q61" s="247"/>
    </row>
    <row r="62" ht="15.75" customHeight="1">
      <c r="A62" s="146" t="s">
        <v>409</v>
      </c>
      <c r="B62" s="146">
        <v>2.0</v>
      </c>
      <c r="C62" s="146">
        <v>18.0</v>
      </c>
      <c r="D62" s="274">
        <f t="shared" si="24"/>
        <v>36</v>
      </c>
      <c r="E62" s="146">
        <v>2.27</v>
      </c>
      <c r="F62" s="146">
        <v>4.0</v>
      </c>
      <c r="G62" s="94" t="str">
        <f t="shared" si="36"/>
        <v>43.25%</v>
      </c>
      <c r="H62" s="146">
        <v>2.0</v>
      </c>
      <c r="I62" s="268">
        <f t="shared" si="15"/>
        <v>36</v>
      </c>
      <c r="J62" s="146"/>
      <c r="K62" s="268">
        <f t="shared" si="16"/>
        <v>0</v>
      </c>
      <c r="L62" s="276">
        <f t="shared" si="25"/>
        <v>0</v>
      </c>
      <c r="M62" s="274">
        <f t="shared" si="37"/>
        <v>0</v>
      </c>
      <c r="N62" s="289">
        <f t="shared" si="38"/>
        <v>81.72</v>
      </c>
      <c r="O62" s="268">
        <f t="shared" si="39"/>
        <v>144</v>
      </c>
      <c r="P62" s="270">
        <f t="shared" si="40"/>
        <v>62.28</v>
      </c>
      <c r="Q62" s="283"/>
    </row>
    <row r="63" ht="15.75" customHeight="1">
      <c r="A63" s="146" t="s">
        <v>422</v>
      </c>
      <c r="B63" s="146">
        <v>3.0</v>
      </c>
      <c r="C63" s="146">
        <v>18.0</v>
      </c>
      <c r="D63" s="274">
        <f t="shared" si="24"/>
        <v>54</v>
      </c>
      <c r="E63" s="146">
        <v>2.5</v>
      </c>
      <c r="F63" s="146">
        <v>4.0</v>
      </c>
      <c r="G63" s="94" t="str">
        <f t="shared" si="36"/>
        <v>37.5%</v>
      </c>
      <c r="H63" s="146">
        <v>3.0</v>
      </c>
      <c r="I63" s="268">
        <f t="shared" si="15"/>
        <v>54</v>
      </c>
      <c r="J63" s="146"/>
      <c r="K63" s="268">
        <f t="shared" si="16"/>
        <v>0</v>
      </c>
      <c r="L63" s="276">
        <f t="shared" si="25"/>
        <v>0</v>
      </c>
      <c r="M63" s="274">
        <f t="shared" si="37"/>
        <v>0</v>
      </c>
      <c r="N63" s="289">
        <f t="shared" si="38"/>
        <v>135</v>
      </c>
      <c r="O63" s="268">
        <f t="shared" si="39"/>
        <v>216</v>
      </c>
      <c r="P63" s="270">
        <f t="shared" si="40"/>
        <v>81</v>
      </c>
      <c r="Q63" s="283"/>
    </row>
    <row r="64" ht="15.75" customHeight="1">
      <c r="A64" s="146" t="s">
        <v>423</v>
      </c>
      <c r="B64" s="146">
        <v>32.0</v>
      </c>
      <c r="C64" s="146">
        <v>12.0</v>
      </c>
      <c r="D64" s="274">
        <f t="shared" si="24"/>
        <v>384</v>
      </c>
      <c r="E64" s="146">
        <v>2.5</v>
      </c>
      <c r="F64" s="146">
        <v>4.0</v>
      </c>
      <c r="G64" s="94" t="str">
        <f t="shared" si="36"/>
        <v>37.5%</v>
      </c>
      <c r="H64" s="146">
        <v>32.0</v>
      </c>
      <c r="I64" s="268">
        <f t="shared" si="15"/>
        <v>384</v>
      </c>
      <c r="J64" s="146">
        <v>0.0</v>
      </c>
      <c r="K64" s="268">
        <f t="shared" si="16"/>
        <v>0</v>
      </c>
      <c r="L64" s="276">
        <f t="shared" si="25"/>
        <v>0</v>
      </c>
      <c r="M64" s="274">
        <f t="shared" si="37"/>
        <v>0</v>
      </c>
      <c r="N64" s="289">
        <f t="shared" si="38"/>
        <v>960</v>
      </c>
      <c r="O64" s="268">
        <f t="shared" si="39"/>
        <v>1536</v>
      </c>
      <c r="P64" s="270">
        <f t="shared" si="40"/>
        <v>576</v>
      </c>
      <c r="Q64" s="283"/>
    </row>
    <row r="65" ht="15.75" customHeight="1">
      <c r="A65" s="146" t="s">
        <v>424</v>
      </c>
      <c r="B65" s="146">
        <v>1.0</v>
      </c>
      <c r="C65" s="146">
        <v>12.0</v>
      </c>
      <c r="D65" s="274">
        <f t="shared" si="24"/>
        <v>12</v>
      </c>
      <c r="E65" s="146">
        <v>2.5</v>
      </c>
      <c r="F65" s="146">
        <v>4.0</v>
      </c>
      <c r="G65" s="94" t="str">
        <f t="shared" si="36"/>
        <v>37.5%</v>
      </c>
      <c r="H65" s="146"/>
      <c r="I65" s="268">
        <f t="shared" si="15"/>
        <v>0</v>
      </c>
      <c r="J65" s="146"/>
      <c r="K65" s="268">
        <f t="shared" si="16"/>
        <v>0</v>
      </c>
      <c r="L65" s="276">
        <f t="shared" si="25"/>
        <v>1</v>
      </c>
      <c r="M65" s="155">
        <f t="shared" si="37"/>
        <v>12</v>
      </c>
      <c r="N65" s="296">
        <f t="shared" si="38"/>
        <v>0</v>
      </c>
      <c r="O65" s="155">
        <f t="shared" si="39"/>
        <v>0</v>
      </c>
      <c r="P65" s="155">
        <f t="shared" si="40"/>
        <v>0</v>
      </c>
      <c r="Q65" s="283"/>
    </row>
    <row r="66" ht="15.75" customHeight="1">
      <c r="A66" s="146" t="s">
        <v>425</v>
      </c>
      <c r="B66" s="146">
        <v>8.0</v>
      </c>
      <c r="C66" s="146">
        <v>1.0</v>
      </c>
      <c r="D66" s="274">
        <f t="shared" si="24"/>
        <v>8</v>
      </c>
      <c r="E66" s="146">
        <v>14.0</v>
      </c>
      <c r="F66" s="146">
        <v>20.0</v>
      </c>
      <c r="G66" s="94" t="str">
        <f t="shared" si="36"/>
        <v>30%</v>
      </c>
      <c r="H66" s="146">
        <v>8.0</v>
      </c>
      <c r="I66" s="268">
        <f t="shared" si="15"/>
        <v>8</v>
      </c>
      <c r="J66" s="146"/>
      <c r="K66" s="268">
        <f t="shared" si="16"/>
        <v>0</v>
      </c>
      <c r="L66" s="276">
        <f t="shared" si="25"/>
        <v>0</v>
      </c>
      <c r="M66" s="155">
        <f t="shared" si="37"/>
        <v>0</v>
      </c>
      <c r="N66" s="296">
        <f t="shared" si="38"/>
        <v>112</v>
      </c>
      <c r="O66" s="155">
        <f t="shared" si="39"/>
        <v>160</v>
      </c>
      <c r="P66" s="155">
        <f t="shared" si="40"/>
        <v>48</v>
      </c>
      <c r="Q66" s="283"/>
    </row>
    <row r="67" ht="15.75" customHeight="1">
      <c r="A67" s="146" t="s">
        <v>426</v>
      </c>
      <c r="B67" s="146">
        <v>9.0</v>
      </c>
      <c r="C67" s="146">
        <v>12.0</v>
      </c>
      <c r="D67" s="274">
        <f t="shared" si="24"/>
        <v>108</v>
      </c>
      <c r="E67" s="146">
        <v>1.33</v>
      </c>
      <c r="F67" s="146">
        <v>3.0</v>
      </c>
      <c r="G67" s="94" t="str">
        <f t="shared" si="36"/>
        <v>55.6666666666667%</v>
      </c>
      <c r="H67" s="146">
        <v>9.0</v>
      </c>
      <c r="I67" s="268">
        <f t="shared" si="15"/>
        <v>108</v>
      </c>
      <c r="J67" s="146">
        <v>0.0</v>
      </c>
      <c r="K67" s="268">
        <f t="shared" si="16"/>
        <v>0</v>
      </c>
      <c r="L67" s="276">
        <f t="shared" si="25"/>
        <v>0</v>
      </c>
      <c r="M67" s="155">
        <f t="shared" si="37"/>
        <v>0</v>
      </c>
      <c r="N67" s="296">
        <f t="shared" si="38"/>
        <v>143.64</v>
      </c>
      <c r="O67" s="155">
        <f t="shared" si="39"/>
        <v>324</v>
      </c>
      <c r="P67" s="155">
        <f t="shared" si="40"/>
        <v>180.36</v>
      </c>
      <c r="Q67" s="283"/>
    </row>
    <row r="68" ht="15.75" customHeight="1">
      <c r="A68" s="146" t="s">
        <v>401</v>
      </c>
      <c r="B68" s="146">
        <v>1.0</v>
      </c>
      <c r="C68" s="146">
        <v>6.0</v>
      </c>
      <c r="D68" s="274">
        <f t="shared" si="24"/>
        <v>6</v>
      </c>
      <c r="E68" s="146">
        <v>2.0</v>
      </c>
      <c r="F68" s="146">
        <v>4.0</v>
      </c>
      <c r="G68" s="94" t="str">
        <f t="shared" si="36"/>
        <v>50%</v>
      </c>
      <c r="H68" s="146">
        <v>1.0</v>
      </c>
      <c r="I68" s="268">
        <f t="shared" si="15"/>
        <v>6</v>
      </c>
      <c r="J68" s="146"/>
      <c r="K68" s="268">
        <f t="shared" si="16"/>
        <v>0</v>
      </c>
      <c r="L68" s="276">
        <f t="shared" si="25"/>
        <v>0</v>
      </c>
      <c r="M68" s="155">
        <f t="shared" si="37"/>
        <v>0</v>
      </c>
      <c r="N68" s="296">
        <f t="shared" si="38"/>
        <v>12</v>
      </c>
      <c r="O68" s="155">
        <f t="shared" si="39"/>
        <v>24</v>
      </c>
      <c r="P68" s="155">
        <f t="shared" si="40"/>
        <v>12</v>
      </c>
      <c r="Q68" s="283"/>
    </row>
    <row r="69" ht="15.75" customHeight="1">
      <c r="A69" s="297" t="s">
        <v>282</v>
      </c>
      <c r="B69" s="298"/>
      <c r="C69" s="298"/>
      <c r="D69" s="274">
        <f t="shared" si="24"/>
        <v>0</v>
      </c>
      <c r="E69" s="298"/>
      <c r="F69" s="298"/>
      <c r="G69" s="298"/>
      <c r="H69" s="298"/>
      <c r="I69" s="268">
        <f t="shared" si="15"/>
        <v>0</v>
      </c>
      <c r="J69" s="298"/>
      <c r="K69" s="268">
        <f t="shared" si="16"/>
        <v>0</v>
      </c>
      <c r="L69" s="299">
        <f t="shared" si="25"/>
        <v>0</v>
      </c>
      <c r="M69" s="298"/>
      <c r="N69" s="300">
        <f t="shared" ref="N69:P69" si="41">sum(N59:N68)</f>
        <v>2369.82</v>
      </c>
      <c r="O69" s="300">
        <f t="shared" si="41"/>
        <v>3813</v>
      </c>
      <c r="P69" s="300">
        <f t="shared" si="41"/>
        <v>1443.18</v>
      </c>
      <c r="Q69" s="247"/>
    </row>
    <row r="70" ht="15.75" customHeight="1">
      <c r="A70" s="284" t="s">
        <v>393</v>
      </c>
      <c r="B70" s="214">
        <v>58.0</v>
      </c>
      <c r="C70" s="215">
        <v>12.0</v>
      </c>
      <c r="D70" s="285">
        <f t="shared" si="24"/>
        <v>696</v>
      </c>
      <c r="E70" s="215">
        <v>2.66</v>
      </c>
      <c r="F70" s="215">
        <v>4.0</v>
      </c>
      <c r="G70" s="217" t="str">
        <f t="shared" ref="G70:G79" si="42">((F70-E70)/F70)*100 &amp; "%"</f>
        <v>33.5%</v>
      </c>
      <c r="H70" s="286">
        <v>20.0</v>
      </c>
      <c r="I70" s="287">
        <f t="shared" si="15"/>
        <v>240</v>
      </c>
      <c r="J70" s="214">
        <v>0.0</v>
      </c>
      <c r="K70" s="287">
        <f t="shared" si="16"/>
        <v>0</v>
      </c>
      <c r="L70" s="288">
        <f t="shared" si="25"/>
        <v>38</v>
      </c>
      <c r="M70" s="274">
        <f t="shared" ref="M70:M80" si="43">(D70+K70)-I70</f>
        <v>456</v>
      </c>
      <c r="N70" s="289">
        <f t="shared" ref="N70:N79" si="44">(D70 + K70 - M70) * E70</f>
        <v>638.4</v>
      </c>
      <c r="O70" s="268">
        <f t="shared" ref="O70:O79" si="45">(I70*F70)</f>
        <v>960</v>
      </c>
      <c r="P70" s="270">
        <f t="shared" ref="P70:P79" si="46">O70-N70</f>
        <v>321.6</v>
      </c>
      <c r="Q70" s="290"/>
    </row>
    <row r="71" ht="15.75" customHeight="1">
      <c r="A71" s="146" t="s">
        <v>426</v>
      </c>
      <c r="B71" s="146">
        <v>10.0</v>
      </c>
      <c r="C71" s="146">
        <v>12.0</v>
      </c>
      <c r="D71" s="274">
        <f t="shared" si="24"/>
        <v>120</v>
      </c>
      <c r="E71" s="146">
        <v>1.33</v>
      </c>
      <c r="F71" s="146">
        <v>3.0</v>
      </c>
      <c r="G71" s="94" t="str">
        <f t="shared" si="42"/>
        <v>55.6666666666667%</v>
      </c>
      <c r="H71" s="146"/>
      <c r="I71" s="268">
        <f t="shared" si="15"/>
        <v>0</v>
      </c>
      <c r="J71" s="146">
        <v>0.0</v>
      </c>
      <c r="K71" s="268">
        <f t="shared" si="16"/>
        <v>0</v>
      </c>
      <c r="L71" s="276">
        <f t="shared" si="25"/>
        <v>10</v>
      </c>
      <c r="M71" s="155">
        <f t="shared" si="43"/>
        <v>120</v>
      </c>
      <c r="N71" s="296">
        <f t="shared" si="44"/>
        <v>0</v>
      </c>
      <c r="O71" s="155">
        <f t="shared" si="45"/>
        <v>0</v>
      </c>
      <c r="P71" s="155">
        <f t="shared" si="46"/>
        <v>0</v>
      </c>
      <c r="Q71" s="283"/>
    </row>
    <row r="72" ht="15.75" customHeight="1">
      <c r="A72" s="291" t="s">
        <v>416</v>
      </c>
      <c r="B72" s="224">
        <v>12.0</v>
      </c>
      <c r="C72" s="225">
        <v>20.0</v>
      </c>
      <c r="D72" s="292">
        <f t="shared" si="24"/>
        <v>240</v>
      </c>
      <c r="E72" s="146">
        <v>3.2</v>
      </c>
      <c r="F72" s="224">
        <v>5.0</v>
      </c>
      <c r="G72" s="228" t="str">
        <f t="shared" si="42"/>
        <v>36%</v>
      </c>
      <c r="H72" s="293"/>
      <c r="I72" s="294">
        <f t="shared" si="15"/>
        <v>0</v>
      </c>
      <c r="J72" s="224">
        <v>0.0</v>
      </c>
      <c r="K72" s="294">
        <f t="shared" si="16"/>
        <v>0</v>
      </c>
      <c r="L72" s="288">
        <f t="shared" si="25"/>
        <v>12</v>
      </c>
      <c r="M72" s="274">
        <f t="shared" si="43"/>
        <v>240</v>
      </c>
      <c r="N72" s="289">
        <f t="shared" si="44"/>
        <v>0</v>
      </c>
      <c r="O72" s="268">
        <f t="shared" si="45"/>
        <v>0</v>
      </c>
      <c r="P72" s="270">
        <f t="shared" si="46"/>
        <v>0</v>
      </c>
      <c r="Q72" s="295"/>
    </row>
    <row r="73" ht="15.75" customHeight="1">
      <c r="A73" s="284" t="s">
        <v>409</v>
      </c>
      <c r="B73" s="214">
        <v>10.0</v>
      </c>
      <c r="C73" s="215">
        <v>18.0</v>
      </c>
      <c r="D73" s="285">
        <f t="shared" si="24"/>
        <v>180</v>
      </c>
      <c r="E73" s="215">
        <v>2.27</v>
      </c>
      <c r="F73" s="215">
        <v>4.0</v>
      </c>
      <c r="G73" s="217" t="str">
        <f t="shared" si="42"/>
        <v>43.25%</v>
      </c>
      <c r="H73" s="215">
        <v>1.0</v>
      </c>
      <c r="I73" s="287">
        <f t="shared" si="15"/>
        <v>18</v>
      </c>
      <c r="J73" s="286">
        <v>0.0</v>
      </c>
      <c r="K73" s="287">
        <f t="shared" si="16"/>
        <v>0</v>
      </c>
      <c r="L73" s="288">
        <f t="shared" si="25"/>
        <v>9</v>
      </c>
      <c r="M73" s="285">
        <f t="shared" si="43"/>
        <v>162</v>
      </c>
      <c r="N73" s="301">
        <f t="shared" si="44"/>
        <v>40.86</v>
      </c>
      <c r="O73" s="287">
        <f t="shared" si="45"/>
        <v>72</v>
      </c>
      <c r="P73" s="302">
        <f t="shared" si="46"/>
        <v>31.14</v>
      </c>
      <c r="Q73" s="290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 ht="15.75" customHeight="1">
      <c r="A74" s="233" t="s">
        <v>427</v>
      </c>
      <c r="B74" s="234">
        <v>6.0</v>
      </c>
      <c r="C74" s="234">
        <v>10.0</v>
      </c>
      <c r="D74" s="237">
        <f t="shared" si="24"/>
        <v>60</v>
      </c>
      <c r="E74" s="234">
        <v>2.2</v>
      </c>
      <c r="F74" s="234">
        <v>5.0</v>
      </c>
      <c r="G74" s="236" t="str">
        <f t="shared" si="42"/>
        <v>56.%</v>
      </c>
      <c r="H74" s="234">
        <v>6.0</v>
      </c>
      <c r="I74" s="237">
        <f t="shared" si="15"/>
        <v>60</v>
      </c>
      <c r="J74" s="303"/>
      <c r="K74" s="237">
        <f t="shared" si="16"/>
        <v>0</v>
      </c>
      <c r="L74" s="304">
        <f t="shared" si="25"/>
        <v>0</v>
      </c>
      <c r="M74" s="237">
        <f t="shared" si="43"/>
        <v>0</v>
      </c>
      <c r="N74" s="305">
        <f t="shared" si="44"/>
        <v>132</v>
      </c>
      <c r="O74" s="237">
        <f t="shared" si="45"/>
        <v>300</v>
      </c>
      <c r="P74" s="237">
        <f t="shared" si="46"/>
        <v>168</v>
      </c>
      <c r="Q74" s="239"/>
    </row>
    <row r="75" ht="15.75" customHeight="1">
      <c r="A75" s="233" t="s">
        <v>428</v>
      </c>
      <c r="B75" s="234">
        <v>24.0</v>
      </c>
      <c r="C75" s="234">
        <v>12.0</v>
      </c>
      <c r="D75" s="237">
        <f t="shared" si="24"/>
        <v>288</v>
      </c>
      <c r="E75" s="234">
        <v>3.0</v>
      </c>
      <c r="F75" s="234">
        <v>5.0</v>
      </c>
      <c r="G75" s="236" t="str">
        <f t="shared" si="42"/>
        <v>40%</v>
      </c>
      <c r="H75" s="234"/>
      <c r="I75" s="237">
        <f t="shared" si="15"/>
        <v>0</v>
      </c>
      <c r="J75" s="303">
        <v>0.0</v>
      </c>
      <c r="K75" s="237">
        <f t="shared" si="16"/>
        <v>0</v>
      </c>
      <c r="L75" s="304">
        <f t="shared" si="25"/>
        <v>24</v>
      </c>
      <c r="M75" s="237">
        <f t="shared" si="43"/>
        <v>288</v>
      </c>
      <c r="N75" s="305">
        <f t="shared" si="44"/>
        <v>0</v>
      </c>
      <c r="O75" s="237">
        <f t="shared" si="45"/>
        <v>0</v>
      </c>
      <c r="P75" s="237">
        <f t="shared" si="46"/>
        <v>0</v>
      </c>
      <c r="Q75" s="239"/>
    </row>
    <row r="76" ht="15.75" customHeight="1">
      <c r="A76" s="233" t="s">
        <v>429</v>
      </c>
      <c r="B76" s="234">
        <v>20.0</v>
      </c>
      <c r="C76" s="234">
        <v>12.0</v>
      </c>
      <c r="D76" s="237">
        <f t="shared" si="24"/>
        <v>240</v>
      </c>
      <c r="E76" s="234">
        <v>2.91</v>
      </c>
      <c r="F76" s="234">
        <v>5.0</v>
      </c>
      <c r="G76" s="236" t="str">
        <f t="shared" si="42"/>
        <v>41.8%</v>
      </c>
      <c r="H76" s="234"/>
      <c r="I76" s="237">
        <f t="shared" si="15"/>
        <v>0</v>
      </c>
      <c r="J76" s="303">
        <v>0.0</v>
      </c>
      <c r="K76" s="237">
        <f t="shared" si="16"/>
        <v>0</v>
      </c>
      <c r="L76" s="304">
        <f t="shared" si="25"/>
        <v>20</v>
      </c>
      <c r="M76" s="237">
        <f t="shared" si="43"/>
        <v>240</v>
      </c>
      <c r="N76" s="305">
        <f t="shared" si="44"/>
        <v>0</v>
      </c>
      <c r="O76" s="237">
        <f t="shared" si="45"/>
        <v>0</v>
      </c>
      <c r="P76" s="237">
        <f t="shared" si="46"/>
        <v>0</v>
      </c>
      <c r="Q76" s="239"/>
    </row>
    <row r="77" ht="15.75" customHeight="1">
      <c r="A77" s="233" t="s">
        <v>430</v>
      </c>
      <c r="B77" s="234">
        <v>3.0</v>
      </c>
      <c r="C77" s="234">
        <v>10.0</v>
      </c>
      <c r="D77" s="237">
        <f t="shared" si="24"/>
        <v>30</v>
      </c>
      <c r="E77" s="234">
        <v>5.1</v>
      </c>
      <c r="F77" s="234">
        <v>7.0</v>
      </c>
      <c r="G77" s="236" t="str">
        <f t="shared" si="42"/>
        <v>27.1428571428571%</v>
      </c>
      <c r="H77" s="234"/>
      <c r="I77" s="237">
        <f t="shared" si="15"/>
        <v>0</v>
      </c>
      <c r="J77" s="303"/>
      <c r="K77" s="237">
        <f t="shared" si="16"/>
        <v>0</v>
      </c>
      <c r="L77" s="304">
        <f t="shared" si="25"/>
        <v>3</v>
      </c>
      <c r="M77" s="237">
        <f t="shared" si="43"/>
        <v>30</v>
      </c>
      <c r="N77" s="305">
        <f t="shared" si="44"/>
        <v>0</v>
      </c>
      <c r="O77" s="237">
        <f t="shared" si="45"/>
        <v>0</v>
      </c>
      <c r="P77" s="237">
        <f t="shared" si="46"/>
        <v>0</v>
      </c>
      <c r="Q77" s="239"/>
    </row>
    <row r="78" ht="15.75" customHeight="1">
      <c r="A78" s="146" t="s">
        <v>422</v>
      </c>
      <c r="B78" s="146">
        <v>1.0</v>
      </c>
      <c r="C78" s="146">
        <v>18.0</v>
      </c>
      <c r="D78" s="274">
        <f t="shared" si="24"/>
        <v>18</v>
      </c>
      <c r="E78" s="146">
        <v>2.5</v>
      </c>
      <c r="F78" s="146">
        <v>4.0</v>
      </c>
      <c r="G78" s="94" t="str">
        <f t="shared" si="42"/>
        <v>37.5%</v>
      </c>
      <c r="H78" s="146"/>
      <c r="I78" s="268">
        <f t="shared" si="15"/>
        <v>0</v>
      </c>
      <c r="J78" s="146"/>
      <c r="K78" s="268">
        <f t="shared" si="16"/>
        <v>0</v>
      </c>
      <c r="L78" s="276">
        <f t="shared" si="25"/>
        <v>1</v>
      </c>
      <c r="M78" s="274">
        <f t="shared" si="43"/>
        <v>18</v>
      </c>
      <c r="N78" s="289">
        <f t="shared" si="44"/>
        <v>0</v>
      </c>
      <c r="O78" s="268">
        <f t="shared" si="45"/>
        <v>0</v>
      </c>
      <c r="P78" s="270">
        <f t="shared" si="46"/>
        <v>0</v>
      </c>
      <c r="Q78" s="283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 ht="15.75" customHeight="1">
      <c r="A79" s="284" t="s">
        <v>425</v>
      </c>
      <c r="B79" s="214">
        <v>1.0</v>
      </c>
      <c r="C79" s="214">
        <v>7.0</v>
      </c>
      <c r="D79" s="285">
        <f t="shared" si="24"/>
        <v>7</v>
      </c>
      <c r="E79" s="215">
        <v>14.0</v>
      </c>
      <c r="F79" s="215">
        <v>20.0</v>
      </c>
      <c r="G79" s="217" t="str">
        <f t="shared" si="42"/>
        <v>30%</v>
      </c>
      <c r="H79" s="215"/>
      <c r="I79" s="287">
        <f t="shared" si="15"/>
        <v>0</v>
      </c>
      <c r="J79" s="306"/>
      <c r="K79" s="287">
        <f t="shared" si="16"/>
        <v>0</v>
      </c>
      <c r="L79" s="288">
        <f t="shared" si="25"/>
        <v>1</v>
      </c>
      <c r="M79" s="221">
        <f t="shared" si="43"/>
        <v>7</v>
      </c>
      <c r="N79" s="301">
        <f t="shared" si="44"/>
        <v>0</v>
      </c>
      <c r="O79" s="221">
        <f t="shared" si="45"/>
        <v>0</v>
      </c>
      <c r="P79" s="221">
        <f t="shared" si="46"/>
        <v>0</v>
      </c>
      <c r="Q79" s="290"/>
    </row>
    <row r="80" ht="15.75" customHeight="1">
      <c r="A80" s="307" t="s">
        <v>375</v>
      </c>
      <c r="B80" s="308"/>
      <c r="C80" s="308"/>
      <c r="D80" s="309">
        <f>B80*C80</f>
        <v>0</v>
      </c>
      <c r="E80" s="308"/>
      <c r="F80" s="308"/>
      <c r="G80" s="308"/>
      <c r="H80" s="308"/>
      <c r="I80" s="309">
        <f t="shared" si="15"/>
        <v>0</v>
      </c>
      <c r="J80" s="308"/>
      <c r="K80" s="310">
        <f t="shared" si="16"/>
        <v>0</v>
      </c>
      <c r="L80" s="311">
        <f>(B80+$J$14)-H80</f>
        <v>0</v>
      </c>
      <c r="M80" s="309">
        <f t="shared" si="43"/>
        <v>0</v>
      </c>
      <c r="N80" s="312">
        <f t="shared" ref="N80:P80" si="47">SUM(N47+N58+N69)
</f>
        <v>6607.81</v>
      </c>
      <c r="O80" s="312">
        <f t="shared" si="47"/>
        <v>10688</v>
      </c>
      <c r="P80" s="312">
        <f t="shared" si="47"/>
        <v>4080.19</v>
      </c>
      <c r="Q80" s="313"/>
    </row>
    <row r="81" ht="15.75" customHeight="1">
      <c r="A81" s="146"/>
      <c r="B81" s="94"/>
      <c r="C81" s="94"/>
      <c r="D81" s="274">
        <f t="shared" ref="D81:D88" si="48">C81*B81</f>
        <v>0</v>
      </c>
      <c r="E81" s="94"/>
      <c r="F81" s="94"/>
      <c r="G81" s="94"/>
      <c r="H81" s="94"/>
      <c r="I81" s="268">
        <f t="shared" si="15"/>
        <v>0</v>
      </c>
      <c r="J81" s="94"/>
      <c r="K81" s="94">
        <f t="shared" si="16"/>
        <v>0</v>
      </c>
      <c r="L81" s="314">
        <f t="shared" ref="L81:L88" si="49">(B81+J81)-H81</f>
        <v>0</v>
      </c>
      <c r="M81" s="94"/>
      <c r="N81" s="94"/>
      <c r="O81" s="94"/>
      <c r="P81" s="94"/>
      <c r="Q81" s="93"/>
    </row>
    <row r="82" ht="15.75" customHeight="1">
      <c r="A82" s="146"/>
      <c r="B82" s="94"/>
      <c r="C82" s="94"/>
      <c r="D82" s="274">
        <f t="shared" si="48"/>
        <v>0</v>
      </c>
      <c r="E82" s="94"/>
      <c r="F82" s="94"/>
      <c r="G82" s="94"/>
      <c r="H82" s="94"/>
      <c r="I82" s="268">
        <f t="shared" si="15"/>
        <v>0</v>
      </c>
      <c r="J82" s="94"/>
      <c r="K82" s="94">
        <f t="shared" si="16"/>
        <v>0</v>
      </c>
      <c r="L82" s="314">
        <f t="shared" si="49"/>
        <v>0</v>
      </c>
      <c r="M82" s="94"/>
      <c r="N82" s="94"/>
      <c r="O82" s="94"/>
      <c r="P82" s="94"/>
      <c r="Q82" s="93"/>
    </row>
    <row r="83" ht="15.75" customHeight="1">
      <c r="A83" s="146"/>
      <c r="B83" s="94"/>
      <c r="C83" s="94"/>
      <c r="D83" s="274">
        <f t="shared" si="48"/>
        <v>0</v>
      </c>
      <c r="E83" s="94"/>
      <c r="F83" s="94"/>
      <c r="G83" s="94"/>
      <c r="H83" s="94"/>
      <c r="I83" s="268">
        <f t="shared" si="15"/>
        <v>0</v>
      </c>
      <c r="J83" s="94"/>
      <c r="K83" s="94">
        <f t="shared" si="16"/>
        <v>0</v>
      </c>
      <c r="L83" s="314">
        <f t="shared" si="49"/>
        <v>0</v>
      </c>
      <c r="M83" s="94"/>
      <c r="N83" s="94"/>
      <c r="O83" s="94"/>
      <c r="P83" s="94"/>
      <c r="Q83" s="93"/>
    </row>
    <row r="84" ht="15.75" customHeight="1">
      <c r="A84" s="146"/>
      <c r="B84" s="94"/>
      <c r="C84" s="94"/>
      <c r="D84" s="274">
        <f t="shared" si="48"/>
        <v>0</v>
      </c>
      <c r="E84" s="94"/>
      <c r="F84" s="94"/>
      <c r="G84" s="94"/>
      <c r="H84" s="94"/>
      <c r="I84" s="94"/>
      <c r="J84" s="94"/>
      <c r="K84" s="94">
        <f t="shared" si="16"/>
        <v>0</v>
      </c>
      <c r="L84" s="314">
        <f t="shared" si="49"/>
        <v>0</v>
      </c>
      <c r="M84" s="94"/>
      <c r="N84" s="94"/>
      <c r="O84" s="94"/>
      <c r="P84" s="94"/>
      <c r="Q84" s="93"/>
    </row>
    <row r="85" ht="15.75" customHeight="1">
      <c r="A85" s="146"/>
      <c r="B85" s="94"/>
      <c r="C85" s="94"/>
      <c r="D85" s="274">
        <f t="shared" si="48"/>
        <v>0</v>
      </c>
      <c r="E85" s="94"/>
      <c r="F85" s="94"/>
      <c r="G85" s="94"/>
      <c r="H85" s="94"/>
      <c r="I85" s="94"/>
      <c r="J85" s="94"/>
      <c r="K85" s="94">
        <f t="shared" si="16"/>
        <v>0</v>
      </c>
      <c r="L85" s="314">
        <f t="shared" si="49"/>
        <v>0</v>
      </c>
      <c r="M85" s="94"/>
      <c r="N85" s="94"/>
      <c r="O85" s="94"/>
      <c r="P85" s="94"/>
      <c r="Q85" s="93"/>
    </row>
    <row r="86" ht="15.75" customHeight="1">
      <c r="A86" s="146"/>
      <c r="B86" s="94"/>
      <c r="C86" s="94"/>
      <c r="D86" s="274">
        <f t="shared" si="48"/>
        <v>0</v>
      </c>
      <c r="E86" s="94"/>
      <c r="F86" s="94"/>
      <c r="G86" s="94"/>
      <c r="H86" s="94"/>
      <c r="I86" s="94"/>
      <c r="J86" s="94"/>
      <c r="K86" s="94">
        <f t="shared" si="16"/>
        <v>0</v>
      </c>
      <c r="L86" s="314">
        <f t="shared" si="49"/>
        <v>0</v>
      </c>
      <c r="M86" s="94"/>
      <c r="N86" s="94"/>
      <c r="O86" s="94"/>
      <c r="P86" s="94"/>
      <c r="Q86" s="93"/>
    </row>
    <row r="87" ht="15.75" customHeight="1">
      <c r="A87" s="146"/>
      <c r="B87" s="94"/>
      <c r="C87" s="94"/>
      <c r="D87" s="274">
        <f t="shared" si="48"/>
        <v>0</v>
      </c>
      <c r="E87" s="94"/>
      <c r="F87" s="94"/>
      <c r="G87" s="94"/>
      <c r="H87" s="94"/>
      <c r="I87" s="94"/>
      <c r="J87" s="94"/>
      <c r="K87" s="94">
        <f t="shared" si="16"/>
        <v>0</v>
      </c>
      <c r="L87" s="314">
        <f t="shared" si="49"/>
        <v>0</v>
      </c>
      <c r="M87" s="94"/>
      <c r="N87" s="94"/>
      <c r="O87" s="94"/>
      <c r="P87" s="94"/>
      <c r="Q87" s="93"/>
    </row>
    <row r="88" ht="15.75" customHeight="1">
      <c r="A88" s="146"/>
      <c r="B88" s="94"/>
      <c r="C88" s="94"/>
      <c r="D88" s="274">
        <f t="shared" si="48"/>
        <v>0</v>
      </c>
      <c r="E88" s="94"/>
      <c r="F88" s="94"/>
      <c r="G88" s="94"/>
      <c r="H88" s="94"/>
      <c r="I88" s="94"/>
      <c r="J88" s="94"/>
      <c r="K88" s="94">
        <f t="shared" si="16"/>
        <v>0</v>
      </c>
      <c r="L88" s="314">
        <f t="shared" si="49"/>
        <v>0</v>
      </c>
      <c r="M88" s="94"/>
      <c r="N88" s="94"/>
      <c r="O88" s="94"/>
      <c r="P88" s="94"/>
      <c r="Q88" s="93"/>
    </row>
    <row r="89" ht="15.75" customHeight="1">
      <c r="K89" s="315"/>
    </row>
    <row r="90" ht="15.75" customHeight="1">
      <c r="K90" s="315"/>
    </row>
    <row r="91" ht="15.75" customHeight="1">
      <c r="K91" s="315"/>
    </row>
    <row r="92" ht="15.75" customHeight="1">
      <c r="K92" s="315"/>
    </row>
    <row r="93" ht="15.75" customHeight="1">
      <c r="K93" s="315"/>
    </row>
    <row r="94" ht="15.75" customHeight="1">
      <c r="K94" s="315"/>
    </row>
    <row r="95" ht="15.75" customHeight="1">
      <c r="K95" s="315"/>
    </row>
    <row r="96" ht="15.75" customHeight="1">
      <c r="K96" s="315"/>
    </row>
    <row r="97" ht="15.75" customHeight="1">
      <c r="K97" s="315"/>
    </row>
    <row r="98" ht="15.75" customHeight="1">
      <c r="K98" s="315"/>
    </row>
    <row r="99" ht="15.75" customHeight="1">
      <c r="K99" s="315"/>
    </row>
    <row r="100" ht="15.75" customHeight="1">
      <c r="K100" s="315"/>
    </row>
    <row r="101" ht="15.75" customHeight="1">
      <c r="K101" s="315"/>
    </row>
    <row r="102" ht="15.75" customHeight="1">
      <c r="K102" s="315"/>
    </row>
    <row r="103" ht="15.75" customHeight="1">
      <c r="K103" s="315"/>
    </row>
    <row r="104" ht="15.75" customHeight="1">
      <c r="K104" s="315"/>
    </row>
    <row r="105" ht="15.75" customHeight="1">
      <c r="K105" s="315"/>
    </row>
    <row r="106" ht="15.75" customHeight="1">
      <c r="K106" s="315"/>
    </row>
    <row r="107" ht="15.75" customHeight="1">
      <c r="K107" s="315"/>
    </row>
    <row r="108" ht="15.75" customHeight="1">
      <c r="K108" s="315"/>
    </row>
    <row r="109" ht="15.75" customHeight="1">
      <c r="K109" s="315"/>
    </row>
    <row r="110" ht="15.75" customHeight="1">
      <c r="K110" s="315"/>
    </row>
    <row r="111" ht="15.75" customHeight="1">
      <c r="K111" s="315"/>
    </row>
    <row r="112" ht="15.75" customHeight="1">
      <c r="K112" s="315"/>
    </row>
    <row r="113" ht="15.75" customHeight="1">
      <c r="K113" s="315"/>
    </row>
    <row r="114" ht="15.75" customHeight="1">
      <c r="K114" s="315"/>
    </row>
    <row r="115" ht="15.75" customHeight="1">
      <c r="K115" s="315"/>
    </row>
    <row r="116" ht="15.75" customHeight="1">
      <c r="K116" s="315"/>
    </row>
    <row r="117" ht="15.75" customHeight="1">
      <c r="K117" s="315"/>
    </row>
    <row r="118" ht="15.75" customHeight="1">
      <c r="K118" s="315"/>
    </row>
    <row r="119" ht="15.75" customHeight="1">
      <c r="K119" s="315"/>
    </row>
    <row r="120" ht="15.75" customHeight="1">
      <c r="K120" s="315"/>
    </row>
    <row r="121" ht="15.75" customHeight="1">
      <c r="K121" s="315"/>
    </row>
    <row r="122" ht="15.75" customHeight="1">
      <c r="K122" s="315"/>
    </row>
    <row r="123" ht="15.75" customHeight="1">
      <c r="K123" s="315"/>
    </row>
    <row r="124" ht="15.75" customHeight="1">
      <c r="K124" s="315"/>
    </row>
    <row r="125" ht="15.75" customHeight="1">
      <c r="K125" s="315"/>
    </row>
    <row r="126" ht="15.75" customHeight="1">
      <c r="K126" s="315"/>
    </row>
    <row r="127" ht="15.75" customHeight="1">
      <c r="K127" s="315"/>
    </row>
    <row r="128" ht="15.75" customHeight="1">
      <c r="K128" s="315"/>
    </row>
    <row r="129" ht="15.75" customHeight="1">
      <c r="K129" s="315"/>
    </row>
    <row r="130" ht="15.75" customHeight="1">
      <c r="K130" s="315"/>
    </row>
    <row r="131" ht="15.75" customHeight="1">
      <c r="K131" s="315"/>
    </row>
    <row r="132" ht="15.75" customHeight="1">
      <c r="K132" s="315"/>
    </row>
    <row r="133" ht="15.75" customHeight="1">
      <c r="K133" s="315"/>
    </row>
    <row r="134" ht="15.75" customHeight="1">
      <c r="K134" s="315"/>
    </row>
    <row r="135" ht="15.75" customHeight="1">
      <c r="K135" s="315"/>
    </row>
    <row r="136" ht="15.75" customHeight="1">
      <c r="K136" s="315"/>
    </row>
    <row r="137" ht="15.75" customHeight="1">
      <c r="K137" s="315"/>
    </row>
    <row r="138" ht="15.75" customHeight="1">
      <c r="K138" s="315"/>
    </row>
    <row r="139" ht="15.75" customHeight="1">
      <c r="K139" s="315"/>
    </row>
    <row r="140" ht="15.75" customHeight="1">
      <c r="K140" s="315"/>
    </row>
    <row r="141" ht="15.75" customHeight="1">
      <c r="K141" s="315"/>
    </row>
    <row r="142" ht="15.75" customHeight="1">
      <c r="K142" s="315"/>
    </row>
    <row r="143" ht="15.75" customHeight="1">
      <c r="K143" s="315"/>
    </row>
    <row r="144" ht="15.75" customHeight="1">
      <c r="K144" s="315"/>
    </row>
    <row r="145" ht="15.75" customHeight="1">
      <c r="K145" s="315"/>
    </row>
    <row r="146" ht="15.75" customHeight="1">
      <c r="K146" s="315"/>
    </row>
    <row r="147" ht="15.75" customHeight="1">
      <c r="K147" s="315"/>
    </row>
    <row r="148" ht="15.75" customHeight="1">
      <c r="K148" s="315"/>
    </row>
    <row r="149" ht="15.75" customHeight="1">
      <c r="K149" s="315"/>
    </row>
    <row r="150" ht="15.75" customHeight="1">
      <c r="K150" s="315"/>
    </row>
    <row r="151" ht="15.75" customHeight="1">
      <c r="K151" s="315"/>
    </row>
    <row r="152" ht="15.75" customHeight="1">
      <c r="K152" s="315"/>
    </row>
    <row r="153" ht="15.75" customHeight="1">
      <c r="K153" s="315"/>
    </row>
    <row r="154" ht="15.75" customHeight="1">
      <c r="K154" s="315"/>
    </row>
    <row r="155" ht="15.75" customHeight="1">
      <c r="K155" s="315"/>
    </row>
    <row r="156" ht="15.75" customHeight="1">
      <c r="K156" s="315"/>
    </row>
    <row r="157" ht="15.75" customHeight="1">
      <c r="K157" s="315"/>
    </row>
    <row r="158" ht="15.75" customHeight="1">
      <c r="K158" s="315"/>
    </row>
    <row r="159" ht="15.75" customHeight="1">
      <c r="K159" s="315"/>
    </row>
    <row r="160" ht="15.75" customHeight="1">
      <c r="K160" s="315"/>
    </row>
    <row r="161" ht="15.75" customHeight="1">
      <c r="K161" s="315"/>
    </row>
    <row r="162" ht="15.75" customHeight="1">
      <c r="K162" s="315"/>
    </row>
    <row r="163" ht="15.75" customHeight="1">
      <c r="K163" s="315"/>
    </row>
    <row r="164" ht="15.75" customHeight="1">
      <c r="K164" s="315"/>
    </row>
    <row r="165" ht="15.75" customHeight="1">
      <c r="K165" s="315"/>
    </row>
    <row r="166" ht="15.75" customHeight="1">
      <c r="K166" s="315"/>
    </row>
    <row r="167" ht="15.75" customHeight="1">
      <c r="K167" s="315"/>
    </row>
    <row r="168" ht="15.75" customHeight="1">
      <c r="K168" s="315"/>
    </row>
    <row r="169" ht="15.75" customHeight="1">
      <c r="K169" s="315"/>
    </row>
    <row r="170" ht="15.75" customHeight="1">
      <c r="K170" s="315"/>
    </row>
    <row r="171" ht="15.75" customHeight="1">
      <c r="K171" s="315"/>
    </row>
    <row r="172" ht="15.75" customHeight="1">
      <c r="K172" s="315"/>
    </row>
    <row r="173" ht="15.75" customHeight="1">
      <c r="K173" s="315"/>
    </row>
    <row r="174" ht="15.75" customHeight="1">
      <c r="K174" s="315"/>
    </row>
    <row r="175" ht="15.75" customHeight="1">
      <c r="K175" s="315"/>
    </row>
    <row r="176" ht="15.75" customHeight="1">
      <c r="K176" s="315"/>
    </row>
    <row r="177" ht="15.75" customHeight="1">
      <c r="K177" s="315"/>
    </row>
    <row r="178" ht="15.75" customHeight="1">
      <c r="K178" s="315"/>
    </row>
    <row r="179" ht="15.75" customHeight="1">
      <c r="K179" s="315"/>
    </row>
    <row r="180" ht="15.75" customHeight="1">
      <c r="K180" s="315"/>
    </row>
    <row r="181" ht="15.75" customHeight="1">
      <c r="K181" s="315"/>
    </row>
    <row r="182" ht="15.75" customHeight="1">
      <c r="K182" s="315"/>
    </row>
    <row r="183" ht="15.75" customHeight="1">
      <c r="K183" s="315"/>
    </row>
    <row r="184" ht="15.75" customHeight="1">
      <c r="K184" s="315"/>
    </row>
    <row r="185" ht="15.75" customHeight="1">
      <c r="K185" s="315"/>
    </row>
    <row r="186" ht="15.75" customHeight="1">
      <c r="K186" s="315"/>
    </row>
    <row r="187" ht="15.75" customHeight="1">
      <c r="K187" s="315"/>
    </row>
    <row r="188" ht="15.75" customHeight="1">
      <c r="K188" s="315"/>
    </row>
    <row r="189" ht="15.75" customHeight="1">
      <c r="K189" s="315"/>
    </row>
    <row r="190" ht="15.75" customHeight="1">
      <c r="K190" s="315"/>
    </row>
    <row r="191" ht="15.75" customHeight="1">
      <c r="K191" s="315"/>
    </row>
    <row r="192" ht="15.75" customHeight="1">
      <c r="K192" s="315"/>
    </row>
    <row r="193" ht="15.75" customHeight="1">
      <c r="K193" s="315"/>
    </row>
    <row r="194" ht="15.75" customHeight="1">
      <c r="K194" s="315"/>
    </row>
    <row r="195" ht="15.75" customHeight="1">
      <c r="K195" s="315"/>
    </row>
    <row r="196" ht="15.75" customHeight="1">
      <c r="K196" s="315"/>
    </row>
    <row r="197" ht="15.75" customHeight="1">
      <c r="K197" s="315"/>
    </row>
    <row r="198" ht="15.75" customHeight="1">
      <c r="K198" s="315"/>
    </row>
    <row r="199" ht="15.75" customHeight="1">
      <c r="K199" s="315"/>
    </row>
    <row r="200" ht="15.75" customHeight="1">
      <c r="K200" s="315"/>
    </row>
    <row r="201" ht="15.75" customHeight="1">
      <c r="K201" s="315"/>
    </row>
    <row r="202" ht="15.75" customHeight="1">
      <c r="K202" s="315"/>
    </row>
    <row r="203" ht="15.75" customHeight="1">
      <c r="K203" s="315"/>
    </row>
    <row r="204" ht="15.75" customHeight="1">
      <c r="K204" s="315"/>
    </row>
    <row r="205" ht="15.75" customHeight="1">
      <c r="K205" s="315"/>
    </row>
    <row r="206" ht="15.75" customHeight="1">
      <c r="K206" s="315"/>
    </row>
    <row r="207" ht="15.75" customHeight="1">
      <c r="K207" s="315"/>
    </row>
    <row r="208" ht="15.75" customHeight="1">
      <c r="K208" s="315"/>
    </row>
    <row r="209" ht="15.75" customHeight="1">
      <c r="K209" s="315"/>
    </row>
    <row r="210" ht="15.75" customHeight="1">
      <c r="K210" s="315"/>
    </row>
    <row r="211" ht="15.75" customHeight="1">
      <c r="K211" s="315"/>
    </row>
    <row r="212" ht="15.75" customHeight="1">
      <c r="K212" s="315"/>
    </row>
    <row r="213" ht="15.75" customHeight="1">
      <c r="K213" s="315"/>
    </row>
    <row r="214" ht="15.75" customHeight="1">
      <c r="K214" s="315"/>
    </row>
    <row r="215" ht="15.75" customHeight="1">
      <c r="K215" s="315"/>
    </row>
    <row r="216" ht="15.75" customHeight="1">
      <c r="K216" s="315"/>
    </row>
    <row r="217" ht="15.75" customHeight="1">
      <c r="K217" s="315"/>
    </row>
    <row r="218" ht="15.75" customHeight="1">
      <c r="K218" s="315"/>
    </row>
    <row r="219" ht="15.75" customHeight="1">
      <c r="K219" s="315"/>
    </row>
    <row r="220" ht="15.75" customHeight="1">
      <c r="K220" s="315"/>
    </row>
    <row r="221" ht="15.75" customHeight="1">
      <c r="K221" s="315"/>
    </row>
    <row r="222" ht="15.75" customHeight="1">
      <c r="K222" s="315"/>
    </row>
    <row r="223" ht="15.75" customHeight="1">
      <c r="K223" s="315"/>
    </row>
    <row r="224" ht="15.75" customHeight="1">
      <c r="K224" s="315"/>
    </row>
    <row r="225" ht="15.75" customHeight="1">
      <c r="K225" s="315"/>
    </row>
    <row r="226" ht="15.75" customHeight="1">
      <c r="K226" s="315"/>
    </row>
    <row r="227" ht="15.75" customHeight="1">
      <c r="K227" s="315"/>
    </row>
    <row r="228" ht="15.75" customHeight="1">
      <c r="K228" s="315"/>
    </row>
    <row r="229" ht="15.75" customHeight="1">
      <c r="K229" s="315"/>
    </row>
    <row r="230" ht="15.75" customHeight="1">
      <c r="K230" s="315"/>
    </row>
    <row r="231" ht="15.75" customHeight="1">
      <c r="K231" s="315"/>
    </row>
    <row r="232" ht="15.75" customHeight="1">
      <c r="K232" s="315"/>
    </row>
    <row r="233" ht="15.75" customHeight="1">
      <c r="K233" s="315"/>
    </row>
    <row r="234" ht="15.75" customHeight="1">
      <c r="K234" s="315"/>
    </row>
    <row r="235" ht="15.75" customHeight="1">
      <c r="K235" s="315"/>
    </row>
    <row r="236" ht="15.75" customHeight="1">
      <c r="K236" s="315"/>
    </row>
    <row r="237" ht="15.75" customHeight="1">
      <c r="K237" s="315"/>
    </row>
    <row r="238" ht="15.75" customHeight="1">
      <c r="K238" s="315"/>
    </row>
    <row r="239" ht="15.75" customHeight="1">
      <c r="K239" s="315"/>
    </row>
    <row r="240" ht="15.75" customHeight="1">
      <c r="K240" s="315"/>
    </row>
    <row r="241" ht="15.75" customHeight="1">
      <c r="K241" s="315"/>
    </row>
    <row r="242" ht="15.75" customHeight="1">
      <c r="K242" s="315"/>
    </row>
    <row r="243" ht="15.75" customHeight="1">
      <c r="K243" s="315"/>
    </row>
    <row r="244" ht="15.75" customHeight="1">
      <c r="K244" s="315"/>
    </row>
    <row r="245" ht="15.75" customHeight="1">
      <c r="K245" s="315"/>
    </row>
    <row r="246" ht="15.75" customHeight="1">
      <c r="K246" s="315"/>
    </row>
    <row r="247" ht="15.75" customHeight="1">
      <c r="K247" s="315"/>
    </row>
    <row r="248" ht="15.75" customHeight="1">
      <c r="K248" s="315"/>
    </row>
    <row r="249" ht="15.75" customHeight="1">
      <c r="K249" s="315"/>
    </row>
    <row r="250" ht="15.75" customHeight="1">
      <c r="K250" s="315"/>
    </row>
    <row r="251" ht="15.75" customHeight="1">
      <c r="K251" s="315"/>
    </row>
    <row r="252" ht="15.75" customHeight="1">
      <c r="K252" s="315"/>
    </row>
    <row r="253" ht="15.75" customHeight="1">
      <c r="K253" s="315"/>
    </row>
    <row r="254" ht="15.75" customHeight="1">
      <c r="K254" s="315"/>
    </row>
    <row r="255" ht="15.75" customHeight="1">
      <c r="K255" s="315"/>
    </row>
    <row r="256" ht="15.75" customHeight="1">
      <c r="K256" s="315"/>
    </row>
    <row r="257" ht="15.75" customHeight="1">
      <c r="K257" s="315"/>
    </row>
    <row r="258" ht="15.75" customHeight="1">
      <c r="K258" s="315"/>
    </row>
    <row r="259" ht="15.75" customHeight="1">
      <c r="K259" s="315"/>
    </row>
    <row r="260" ht="15.75" customHeight="1">
      <c r="K260" s="315"/>
    </row>
    <row r="261" ht="15.75" customHeight="1">
      <c r="K261" s="315"/>
    </row>
    <row r="262" ht="15.75" customHeight="1">
      <c r="K262" s="315"/>
    </row>
    <row r="263" ht="15.75" customHeight="1">
      <c r="K263" s="315"/>
    </row>
    <row r="264" ht="15.75" customHeight="1">
      <c r="K264" s="315"/>
    </row>
    <row r="265" ht="15.75" customHeight="1">
      <c r="K265" s="315"/>
    </row>
    <row r="266" ht="15.75" customHeight="1">
      <c r="K266" s="315"/>
    </row>
    <row r="267" ht="15.75" customHeight="1">
      <c r="K267" s="315"/>
    </row>
    <row r="268" ht="15.75" customHeight="1">
      <c r="K268" s="315"/>
    </row>
    <row r="269" ht="15.75" customHeight="1">
      <c r="K269" s="315"/>
    </row>
    <row r="270" ht="15.75" customHeight="1">
      <c r="K270" s="315"/>
    </row>
    <row r="271" ht="15.75" customHeight="1">
      <c r="K271" s="315"/>
    </row>
    <row r="272" ht="15.75" customHeight="1">
      <c r="K272" s="315"/>
    </row>
    <row r="273" ht="15.75" customHeight="1">
      <c r="K273" s="315"/>
    </row>
    <row r="274" ht="15.75" customHeight="1">
      <c r="K274" s="315"/>
    </row>
    <row r="275" ht="15.75" customHeight="1">
      <c r="K275" s="315"/>
    </row>
    <row r="276" ht="15.75" customHeight="1">
      <c r="K276" s="315"/>
    </row>
    <row r="277" ht="15.75" customHeight="1">
      <c r="K277" s="315"/>
    </row>
    <row r="278" ht="15.75" customHeight="1">
      <c r="K278" s="315"/>
    </row>
    <row r="279" ht="15.75" customHeight="1">
      <c r="K279" s="315"/>
    </row>
    <row r="280" ht="15.75" customHeight="1">
      <c r="K280" s="315"/>
    </row>
    <row r="281" ht="15.75" customHeight="1">
      <c r="K281" s="315"/>
    </row>
    <row r="282" ht="15.75" customHeight="1">
      <c r="K282" s="315"/>
    </row>
    <row r="283" ht="15.75" customHeight="1">
      <c r="K283" s="315"/>
    </row>
    <row r="284" ht="15.75" customHeight="1">
      <c r="K284" s="315"/>
    </row>
    <row r="285" ht="15.75" customHeight="1">
      <c r="K285" s="315"/>
    </row>
    <row r="286" ht="15.75" customHeight="1">
      <c r="K286" s="315"/>
    </row>
    <row r="287" ht="15.75" customHeight="1">
      <c r="K287" s="315"/>
    </row>
    <row r="288" ht="15.75" customHeight="1">
      <c r="K288" s="315"/>
    </row>
    <row r="289" ht="15.75" customHeight="1">
      <c r="K289" s="315"/>
    </row>
    <row r="290" ht="15.75" customHeight="1">
      <c r="K290" s="315"/>
    </row>
    <row r="291" ht="15.75" customHeight="1">
      <c r="K291" s="315"/>
    </row>
    <row r="292" ht="15.75" customHeight="1">
      <c r="K292" s="315"/>
    </row>
    <row r="293" ht="15.75" customHeight="1">
      <c r="K293" s="315"/>
    </row>
    <row r="294" ht="15.75" customHeight="1">
      <c r="K294" s="315"/>
    </row>
    <row r="295" ht="15.75" customHeight="1">
      <c r="K295" s="315"/>
    </row>
    <row r="296" ht="15.75" customHeight="1">
      <c r="K296" s="315"/>
    </row>
    <row r="297" ht="15.75" customHeight="1">
      <c r="K297" s="315"/>
    </row>
    <row r="298" ht="15.75" customHeight="1">
      <c r="K298" s="315"/>
    </row>
    <row r="299" ht="15.75" customHeight="1">
      <c r="K299" s="315"/>
    </row>
    <row r="300" ht="15.75" customHeight="1">
      <c r="K300" s="315"/>
    </row>
    <row r="301" ht="15.75" customHeight="1">
      <c r="K301" s="315"/>
    </row>
    <row r="302" ht="15.75" customHeight="1">
      <c r="K302" s="315"/>
    </row>
    <row r="303" ht="15.75" customHeight="1">
      <c r="K303" s="315"/>
    </row>
    <row r="304" ht="15.75" customHeight="1">
      <c r="K304" s="315"/>
    </row>
    <row r="305" ht="15.75" customHeight="1">
      <c r="K305" s="315"/>
    </row>
    <row r="306" ht="15.75" customHeight="1">
      <c r="K306" s="315"/>
    </row>
    <row r="307" ht="15.75" customHeight="1">
      <c r="K307" s="315"/>
    </row>
    <row r="308" ht="15.75" customHeight="1">
      <c r="K308" s="315"/>
    </row>
    <row r="309" ht="15.75" customHeight="1">
      <c r="K309" s="315"/>
    </row>
    <row r="310" ht="15.75" customHeight="1">
      <c r="K310" s="315"/>
    </row>
    <row r="311" ht="15.75" customHeight="1">
      <c r="K311" s="315"/>
    </row>
    <row r="312" ht="15.75" customHeight="1">
      <c r="K312" s="315"/>
    </row>
    <row r="313" ht="15.75" customHeight="1">
      <c r="K313" s="315"/>
    </row>
    <row r="314" ht="15.75" customHeight="1">
      <c r="K314" s="315"/>
    </row>
    <row r="315" ht="15.75" customHeight="1">
      <c r="K315" s="315"/>
    </row>
    <row r="316" ht="15.75" customHeight="1">
      <c r="K316" s="315"/>
    </row>
    <row r="317" ht="15.75" customHeight="1">
      <c r="K317" s="315"/>
    </row>
    <row r="318" ht="15.75" customHeight="1">
      <c r="K318" s="315"/>
    </row>
    <row r="319" ht="15.75" customHeight="1">
      <c r="K319" s="315"/>
    </row>
    <row r="320" ht="15.75" customHeight="1">
      <c r="K320" s="315"/>
    </row>
    <row r="321" ht="15.75" customHeight="1">
      <c r="K321" s="315"/>
    </row>
    <row r="322" ht="15.75" customHeight="1">
      <c r="K322" s="315"/>
    </row>
    <row r="323" ht="15.75" customHeight="1">
      <c r="K323" s="315"/>
    </row>
    <row r="324" ht="15.75" customHeight="1">
      <c r="K324" s="315"/>
    </row>
    <row r="325" ht="15.75" customHeight="1">
      <c r="K325" s="315"/>
    </row>
    <row r="326" ht="15.75" customHeight="1">
      <c r="K326" s="315"/>
    </row>
    <row r="327" ht="15.75" customHeight="1">
      <c r="K327" s="315"/>
    </row>
    <row r="328" ht="15.75" customHeight="1">
      <c r="K328" s="315"/>
    </row>
    <row r="329" ht="15.75" customHeight="1">
      <c r="K329" s="315"/>
    </row>
    <row r="330" ht="15.75" customHeight="1">
      <c r="K330" s="315"/>
    </row>
    <row r="331" ht="15.75" customHeight="1">
      <c r="K331" s="315"/>
    </row>
    <row r="332" ht="15.75" customHeight="1">
      <c r="K332" s="315"/>
    </row>
    <row r="333" ht="15.75" customHeight="1">
      <c r="K333" s="315"/>
    </row>
    <row r="334" ht="15.75" customHeight="1">
      <c r="K334" s="315"/>
    </row>
    <row r="335" ht="15.75" customHeight="1">
      <c r="K335" s="315"/>
    </row>
    <row r="336" ht="15.75" customHeight="1">
      <c r="K336" s="315"/>
    </row>
    <row r="337" ht="15.75" customHeight="1">
      <c r="K337" s="315"/>
    </row>
    <row r="338" ht="15.75" customHeight="1">
      <c r="K338" s="315"/>
    </row>
    <row r="339" ht="15.75" customHeight="1">
      <c r="K339" s="315"/>
    </row>
    <row r="340" ht="15.75" customHeight="1">
      <c r="K340" s="315"/>
    </row>
    <row r="341" ht="15.75" customHeight="1">
      <c r="K341" s="315"/>
    </row>
    <row r="342" ht="15.75" customHeight="1">
      <c r="K342" s="315"/>
    </row>
    <row r="343" ht="15.75" customHeight="1">
      <c r="K343" s="315"/>
    </row>
    <row r="344" ht="15.75" customHeight="1">
      <c r="K344" s="315"/>
    </row>
    <row r="345" ht="15.75" customHeight="1">
      <c r="K345" s="315"/>
    </row>
    <row r="346" ht="15.75" customHeight="1">
      <c r="K346" s="315"/>
    </row>
    <row r="347" ht="15.75" customHeight="1">
      <c r="K347" s="315"/>
    </row>
    <row r="348" ht="15.75" customHeight="1">
      <c r="K348" s="315"/>
    </row>
    <row r="349" ht="15.75" customHeight="1">
      <c r="K349" s="315"/>
    </row>
    <row r="350" ht="15.75" customHeight="1">
      <c r="K350" s="315"/>
    </row>
    <row r="351" ht="15.75" customHeight="1">
      <c r="K351" s="315"/>
    </row>
    <row r="352" ht="15.75" customHeight="1">
      <c r="K352" s="315"/>
    </row>
    <row r="353" ht="15.75" customHeight="1">
      <c r="K353" s="315"/>
    </row>
    <row r="354" ht="15.75" customHeight="1">
      <c r="K354" s="315"/>
    </row>
    <row r="355" ht="15.75" customHeight="1">
      <c r="K355" s="315"/>
    </row>
    <row r="356" ht="15.75" customHeight="1">
      <c r="K356" s="315"/>
    </row>
    <row r="357" ht="15.75" customHeight="1">
      <c r="K357" s="315"/>
    </row>
    <row r="358" ht="15.75" customHeight="1">
      <c r="K358" s="315"/>
    </row>
    <row r="359" ht="15.75" customHeight="1">
      <c r="K359" s="315"/>
    </row>
    <row r="360" ht="15.75" customHeight="1">
      <c r="K360" s="315"/>
    </row>
    <row r="361" ht="15.75" customHeight="1">
      <c r="K361" s="315"/>
    </row>
    <row r="362" ht="15.75" customHeight="1">
      <c r="K362" s="315"/>
    </row>
    <row r="363" ht="15.75" customHeight="1">
      <c r="K363" s="315"/>
    </row>
    <row r="364" ht="15.75" customHeight="1">
      <c r="K364" s="315"/>
    </row>
    <row r="365" ht="15.75" customHeight="1">
      <c r="K365" s="315"/>
    </row>
    <row r="366" ht="15.75" customHeight="1">
      <c r="K366" s="315"/>
    </row>
    <row r="367" ht="15.75" customHeight="1">
      <c r="K367" s="315"/>
    </row>
    <row r="368" ht="15.75" customHeight="1">
      <c r="K368" s="315"/>
    </row>
    <row r="369" ht="15.75" customHeight="1">
      <c r="K369" s="315"/>
    </row>
    <row r="370" ht="15.75" customHeight="1">
      <c r="K370" s="315"/>
    </row>
    <row r="371" ht="15.75" customHeight="1">
      <c r="K371" s="315"/>
    </row>
    <row r="372" ht="15.75" customHeight="1">
      <c r="K372" s="315"/>
    </row>
    <row r="373" ht="15.75" customHeight="1">
      <c r="K373" s="315"/>
    </row>
    <row r="374" ht="15.75" customHeight="1">
      <c r="K374" s="315"/>
    </row>
    <row r="375" ht="15.75" customHeight="1">
      <c r="K375" s="315"/>
    </row>
    <row r="376" ht="15.75" customHeight="1">
      <c r="K376" s="315"/>
    </row>
    <row r="377" ht="15.75" customHeight="1">
      <c r="K377" s="315"/>
    </row>
    <row r="378" ht="15.75" customHeight="1">
      <c r="K378" s="315"/>
    </row>
    <row r="379" ht="15.75" customHeight="1">
      <c r="K379" s="315"/>
    </row>
    <row r="380" ht="15.75" customHeight="1">
      <c r="K380" s="315"/>
    </row>
    <row r="381" ht="15.75" customHeight="1">
      <c r="K381" s="315"/>
    </row>
    <row r="382" ht="15.75" customHeight="1">
      <c r="K382" s="315"/>
    </row>
    <row r="383" ht="15.75" customHeight="1">
      <c r="K383" s="315"/>
    </row>
    <row r="384" ht="15.75" customHeight="1">
      <c r="K384" s="315"/>
    </row>
    <row r="385" ht="15.75" customHeight="1">
      <c r="K385" s="315"/>
    </row>
    <row r="386" ht="15.75" customHeight="1">
      <c r="K386" s="315"/>
    </row>
    <row r="387" ht="15.75" customHeight="1">
      <c r="K387" s="315"/>
    </row>
    <row r="388" ht="15.75" customHeight="1">
      <c r="K388" s="315"/>
    </row>
    <row r="389" ht="15.75" customHeight="1">
      <c r="K389" s="315"/>
    </row>
    <row r="390" ht="15.75" customHeight="1">
      <c r="K390" s="315"/>
    </row>
    <row r="391" ht="15.75" customHeight="1">
      <c r="K391" s="315"/>
    </row>
    <row r="392" ht="15.75" customHeight="1">
      <c r="K392" s="315"/>
    </row>
    <row r="393" ht="15.75" customHeight="1">
      <c r="K393" s="315"/>
    </row>
    <row r="394" ht="15.75" customHeight="1">
      <c r="K394" s="315"/>
    </row>
    <row r="395" ht="15.75" customHeight="1">
      <c r="K395" s="315"/>
    </row>
    <row r="396" ht="15.75" customHeight="1">
      <c r="K396" s="315"/>
    </row>
    <row r="397" ht="15.75" customHeight="1">
      <c r="K397" s="315"/>
    </row>
    <row r="398" ht="15.75" customHeight="1">
      <c r="K398" s="315"/>
    </row>
    <row r="399" ht="15.75" customHeight="1">
      <c r="K399" s="315"/>
    </row>
    <row r="400" ht="15.75" customHeight="1">
      <c r="K400" s="315"/>
    </row>
    <row r="401" ht="15.75" customHeight="1">
      <c r="K401" s="315"/>
    </row>
    <row r="402" ht="15.75" customHeight="1">
      <c r="K402" s="315"/>
    </row>
    <row r="403" ht="15.75" customHeight="1">
      <c r="K403" s="315"/>
    </row>
    <row r="404" ht="15.75" customHeight="1">
      <c r="K404" s="315"/>
    </row>
    <row r="405" ht="15.75" customHeight="1">
      <c r="K405" s="315"/>
    </row>
    <row r="406" ht="15.75" customHeight="1">
      <c r="K406" s="315"/>
    </row>
    <row r="407" ht="15.75" customHeight="1">
      <c r="K407" s="315"/>
    </row>
    <row r="408" ht="15.75" customHeight="1">
      <c r="K408" s="315"/>
    </row>
    <row r="409" ht="15.75" customHeight="1">
      <c r="K409" s="315"/>
    </row>
    <row r="410" ht="15.75" customHeight="1">
      <c r="K410" s="315"/>
    </row>
    <row r="411" ht="15.75" customHeight="1">
      <c r="K411" s="315"/>
    </row>
    <row r="412" ht="15.75" customHeight="1">
      <c r="K412" s="315"/>
    </row>
    <row r="413" ht="15.75" customHeight="1">
      <c r="K413" s="315"/>
    </row>
    <row r="414" ht="15.75" customHeight="1">
      <c r="K414" s="315"/>
    </row>
    <row r="415" ht="15.75" customHeight="1">
      <c r="K415" s="315"/>
    </row>
    <row r="416" ht="15.75" customHeight="1">
      <c r="K416" s="315"/>
    </row>
    <row r="417" ht="15.75" customHeight="1">
      <c r="K417" s="315"/>
    </row>
    <row r="418" ht="15.75" customHeight="1">
      <c r="K418" s="315"/>
    </row>
    <row r="419" ht="15.75" customHeight="1">
      <c r="K419" s="315"/>
    </row>
    <row r="420" ht="15.75" customHeight="1">
      <c r="K420" s="315"/>
    </row>
    <row r="421" ht="15.75" customHeight="1">
      <c r="K421" s="315"/>
    </row>
    <row r="422" ht="15.75" customHeight="1">
      <c r="K422" s="315"/>
    </row>
    <row r="423" ht="15.75" customHeight="1">
      <c r="K423" s="315"/>
    </row>
    <row r="424" ht="15.75" customHeight="1">
      <c r="K424" s="315"/>
    </row>
    <row r="425" ht="15.75" customHeight="1">
      <c r="K425" s="315"/>
    </row>
    <row r="426" ht="15.75" customHeight="1">
      <c r="K426" s="315"/>
    </row>
    <row r="427" ht="15.75" customHeight="1">
      <c r="K427" s="315"/>
    </row>
    <row r="428" ht="15.75" customHeight="1">
      <c r="K428" s="315"/>
    </row>
    <row r="429" ht="15.75" customHeight="1">
      <c r="K429" s="315"/>
    </row>
    <row r="430" ht="15.75" customHeight="1">
      <c r="K430" s="315"/>
    </row>
    <row r="431" ht="15.75" customHeight="1">
      <c r="K431" s="315"/>
    </row>
    <row r="432" ht="15.75" customHeight="1">
      <c r="K432" s="315"/>
    </row>
    <row r="433" ht="15.75" customHeight="1">
      <c r="K433" s="315"/>
    </row>
    <row r="434" ht="15.75" customHeight="1">
      <c r="K434" s="315"/>
    </row>
    <row r="435" ht="15.75" customHeight="1">
      <c r="K435" s="315"/>
    </row>
    <row r="436" ht="15.75" customHeight="1">
      <c r="K436" s="315"/>
    </row>
    <row r="437" ht="15.75" customHeight="1">
      <c r="K437" s="315"/>
    </row>
    <row r="438" ht="15.75" customHeight="1">
      <c r="K438" s="315"/>
    </row>
    <row r="439" ht="15.75" customHeight="1">
      <c r="K439" s="315"/>
    </row>
    <row r="440" ht="15.75" customHeight="1">
      <c r="K440" s="315"/>
    </row>
    <row r="441" ht="15.75" customHeight="1">
      <c r="K441" s="315"/>
    </row>
    <row r="442" ht="15.75" customHeight="1">
      <c r="K442" s="315"/>
    </row>
    <row r="443" ht="15.75" customHeight="1">
      <c r="K443" s="315"/>
    </row>
    <row r="444" ht="15.75" customHeight="1">
      <c r="K444" s="315"/>
    </row>
    <row r="445" ht="15.75" customHeight="1">
      <c r="K445" s="315"/>
    </row>
    <row r="446" ht="15.75" customHeight="1">
      <c r="K446" s="315"/>
    </row>
    <row r="447" ht="15.75" customHeight="1">
      <c r="K447" s="315"/>
    </row>
    <row r="448" ht="15.75" customHeight="1">
      <c r="K448" s="315"/>
    </row>
    <row r="449" ht="15.75" customHeight="1">
      <c r="K449" s="315"/>
    </row>
    <row r="450" ht="15.75" customHeight="1">
      <c r="K450" s="315"/>
    </row>
    <row r="451" ht="15.75" customHeight="1">
      <c r="K451" s="315"/>
    </row>
    <row r="452" ht="15.75" customHeight="1">
      <c r="K452" s="315"/>
    </row>
    <row r="453" ht="15.75" customHeight="1">
      <c r="K453" s="315"/>
    </row>
    <row r="454" ht="15.75" customHeight="1">
      <c r="K454" s="315"/>
    </row>
    <row r="455" ht="15.75" customHeight="1">
      <c r="K455" s="315"/>
    </row>
    <row r="456" ht="15.75" customHeight="1">
      <c r="K456" s="315"/>
    </row>
    <row r="457" ht="15.75" customHeight="1">
      <c r="K457" s="315"/>
    </row>
    <row r="458" ht="15.75" customHeight="1">
      <c r="K458" s="315"/>
    </row>
    <row r="459" ht="15.75" customHeight="1">
      <c r="K459" s="315"/>
    </row>
    <row r="460" ht="15.75" customHeight="1">
      <c r="K460" s="315"/>
    </row>
    <row r="461" ht="15.75" customHeight="1">
      <c r="K461" s="315"/>
    </row>
    <row r="462" ht="15.75" customHeight="1">
      <c r="K462" s="315"/>
    </row>
    <row r="463" ht="15.75" customHeight="1">
      <c r="K463" s="315"/>
    </row>
    <row r="464" ht="15.75" customHeight="1">
      <c r="K464" s="315"/>
    </row>
    <row r="465" ht="15.75" customHeight="1">
      <c r="K465" s="315"/>
    </row>
    <row r="466" ht="15.75" customHeight="1">
      <c r="K466" s="315"/>
    </row>
    <row r="467" ht="15.75" customHeight="1">
      <c r="K467" s="315"/>
    </row>
    <row r="468" ht="15.75" customHeight="1">
      <c r="K468" s="315"/>
    </row>
    <row r="469" ht="15.75" customHeight="1">
      <c r="K469" s="315"/>
    </row>
    <row r="470" ht="15.75" customHeight="1">
      <c r="K470" s="315"/>
    </row>
    <row r="471" ht="15.75" customHeight="1">
      <c r="K471" s="315"/>
    </row>
    <row r="472" ht="15.75" customHeight="1">
      <c r="K472" s="315"/>
    </row>
    <row r="473" ht="15.75" customHeight="1">
      <c r="K473" s="315"/>
    </row>
    <row r="474" ht="15.75" customHeight="1">
      <c r="K474" s="315"/>
    </row>
    <row r="475" ht="15.75" customHeight="1">
      <c r="K475" s="315"/>
    </row>
    <row r="476" ht="15.75" customHeight="1">
      <c r="K476" s="315"/>
    </row>
    <row r="477" ht="15.75" customHeight="1">
      <c r="K477" s="315"/>
    </row>
    <row r="478" ht="15.75" customHeight="1">
      <c r="K478" s="315"/>
    </row>
    <row r="479" ht="15.75" customHeight="1">
      <c r="K479" s="315"/>
    </row>
    <row r="480" ht="15.75" customHeight="1">
      <c r="K480" s="315"/>
    </row>
    <row r="481" ht="15.75" customHeight="1">
      <c r="K481" s="315"/>
    </row>
    <row r="482" ht="15.75" customHeight="1">
      <c r="K482" s="315"/>
    </row>
    <row r="483" ht="15.75" customHeight="1">
      <c r="K483" s="315"/>
    </row>
    <row r="484" ht="15.75" customHeight="1">
      <c r="K484" s="315"/>
    </row>
    <row r="485" ht="15.75" customHeight="1">
      <c r="K485" s="315"/>
    </row>
    <row r="486" ht="15.75" customHeight="1">
      <c r="K486" s="315"/>
    </row>
    <row r="487" ht="15.75" customHeight="1">
      <c r="K487" s="315"/>
    </row>
    <row r="488" ht="15.75" customHeight="1">
      <c r="K488" s="315"/>
    </row>
    <row r="489" ht="15.75" customHeight="1">
      <c r="K489" s="315"/>
    </row>
    <row r="490" ht="15.75" customHeight="1">
      <c r="K490" s="315"/>
    </row>
    <row r="491" ht="15.75" customHeight="1">
      <c r="K491" s="315"/>
    </row>
    <row r="492" ht="15.75" customHeight="1">
      <c r="K492" s="315"/>
    </row>
    <row r="493" ht="15.75" customHeight="1">
      <c r="K493" s="315"/>
    </row>
    <row r="494" ht="15.75" customHeight="1">
      <c r="K494" s="315"/>
    </row>
    <row r="495" ht="15.75" customHeight="1">
      <c r="K495" s="315"/>
    </row>
    <row r="496" ht="15.75" customHeight="1">
      <c r="K496" s="315"/>
    </row>
    <row r="497" ht="15.75" customHeight="1">
      <c r="K497" s="315"/>
    </row>
    <row r="498" ht="15.75" customHeight="1">
      <c r="K498" s="315"/>
    </row>
    <row r="499" ht="15.75" customHeight="1">
      <c r="K499" s="315"/>
    </row>
    <row r="500" ht="15.75" customHeight="1">
      <c r="K500" s="315"/>
    </row>
    <row r="501" ht="15.75" customHeight="1">
      <c r="K501" s="315"/>
    </row>
    <row r="502" ht="15.75" customHeight="1">
      <c r="K502" s="315"/>
    </row>
    <row r="503" ht="15.75" customHeight="1">
      <c r="K503" s="315"/>
    </row>
    <row r="504" ht="15.75" customHeight="1">
      <c r="K504" s="315"/>
    </row>
    <row r="505" ht="15.75" customHeight="1">
      <c r="K505" s="315"/>
    </row>
    <row r="506" ht="15.75" customHeight="1">
      <c r="K506" s="315"/>
    </row>
    <row r="507" ht="15.75" customHeight="1">
      <c r="K507" s="315"/>
    </row>
    <row r="508" ht="15.75" customHeight="1">
      <c r="K508" s="315"/>
    </row>
    <row r="509" ht="15.75" customHeight="1">
      <c r="K509" s="315"/>
    </row>
    <row r="510" ht="15.75" customHeight="1">
      <c r="K510" s="315"/>
    </row>
    <row r="511" ht="15.75" customHeight="1">
      <c r="K511" s="315"/>
    </row>
    <row r="512" ht="15.75" customHeight="1">
      <c r="K512" s="315"/>
    </row>
    <row r="513" ht="15.75" customHeight="1">
      <c r="K513" s="315"/>
    </row>
    <row r="514" ht="15.75" customHeight="1">
      <c r="K514" s="315"/>
    </row>
    <row r="515" ht="15.75" customHeight="1">
      <c r="K515" s="315"/>
    </row>
    <row r="516" ht="15.75" customHeight="1">
      <c r="K516" s="315"/>
    </row>
    <row r="517" ht="15.75" customHeight="1">
      <c r="K517" s="315"/>
    </row>
    <row r="518" ht="15.75" customHeight="1">
      <c r="K518" s="315"/>
    </row>
    <row r="519" ht="15.75" customHeight="1">
      <c r="K519" s="315"/>
    </row>
    <row r="520" ht="15.75" customHeight="1">
      <c r="K520" s="315"/>
    </row>
    <row r="521" ht="15.75" customHeight="1">
      <c r="K521" s="315"/>
    </row>
    <row r="522" ht="15.75" customHeight="1">
      <c r="K522" s="315"/>
    </row>
    <row r="523" ht="15.75" customHeight="1">
      <c r="K523" s="315"/>
    </row>
    <row r="524" ht="15.75" customHeight="1">
      <c r="K524" s="315"/>
    </row>
    <row r="525" ht="15.75" customHeight="1">
      <c r="K525" s="315"/>
    </row>
    <row r="526" ht="15.75" customHeight="1">
      <c r="K526" s="315"/>
    </row>
    <row r="527" ht="15.75" customHeight="1">
      <c r="K527" s="315"/>
    </row>
    <row r="528" ht="15.75" customHeight="1">
      <c r="K528" s="315"/>
    </row>
    <row r="529" ht="15.75" customHeight="1">
      <c r="K529" s="315"/>
    </row>
    <row r="530" ht="15.75" customHeight="1">
      <c r="K530" s="315"/>
    </row>
    <row r="531" ht="15.75" customHeight="1">
      <c r="K531" s="315"/>
    </row>
    <row r="532" ht="15.75" customHeight="1">
      <c r="K532" s="315"/>
    </row>
    <row r="533" ht="15.75" customHeight="1">
      <c r="K533" s="315"/>
    </row>
    <row r="534" ht="15.75" customHeight="1">
      <c r="K534" s="315"/>
    </row>
    <row r="535" ht="15.75" customHeight="1">
      <c r="K535" s="315"/>
    </row>
    <row r="536" ht="15.75" customHeight="1">
      <c r="K536" s="315"/>
    </row>
    <row r="537" ht="15.75" customHeight="1">
      <c r="K537" s="315"/>
    </row>
    <row r="538" ht="15.75" customHeight="1">
      <c r="K538" s="315"/>
    </row>
    <row r="539" ht="15.75" customHeight="1">
      <c r="K539" s="315"/>
    </row>
    <row r="540" ht="15.75" customHeight="1">
      <c r="K540" s="315"/>
    </row>
    <row r="541" ht="15.75" customHeight="1">
      <c r="K541" s="315"/>
    </row>
    <row r="542" ht="15.75" customHeight="1">
      <c r="K542" s="315"/>
    </row>
    <row r="543" ht="15.75" customHeight="1">
      <c r="K543" s="315"/>
    </row>
    <row r="544" ht="15.75" customHeight="1">
      <c r="K544" s="315"/>
    </row>
    <row r="545" ht="15.75" customHeight="1">
      <c r="K545" s="315"/>
    </row>
    <row r="546" ht="15.75" customHeight="1">
      <c r="K546" s="315"/>
    </row>
    <row r="547" ht="15.75" customHeight="1">
      <c r="K547" s="315"/>
    </row>
    <row r="548" ht="15.75" customHeight="1">
      <c r="K548" s="315"/>
    </row>
    <row r="549" ht="15.75" customHeight="1">
      <c r="K549" s="315"/>
    </row>
    <row r="550" ht="15.75" customHeight="1">
      <c r="K550" s="315"/>
    </row>
    <row r="551" ht="15.75" customHeight="1">
      <c r="K551" s="315"/>
    </row>
    <row r="552" ht="15.75" customHeight="1">
      <c r="K552" s="315"/>
    </row>
    <row r="553" ht="15.75" customHeight="1">
      <c r="K553" s="315"/>
    </row>
    <row r="554" ht="15.75" customHeight="1">
      <c r="K554" s="315"/>
    </row>
    <row r="555" ht="15.75" customHeight="1">
      <c r="K555" s="315"/>
    </row>
    <row r="556" ht="15.75" customHeight="1">
      <c r="K556" s="315"/>
    </row>
    <row r="557" ht="15.75" customHeight="1">
      <c r="K557" s="315"/>
    </row>
    <row r="558" ht="15.75" customHeight="1">
      <c r="K558" s="315"/>
    </row>
    <row r="559" ht="15.75" customHeight="1">
      <c r="K559" s="315"/>
    </row>
    <row r="560" ht="15.75" customHeight="1">
      <c r="K560" s="315"/>
    </row>
    <row r="561" ht="15.75" customHeight="1">
      <c r="K561" s="315"/>
    </row>
    <row r="562" ht="15.75" customHeight="1">
      <c r="K562" s="315"/>
    </row>
    <row r="563" ht="15.75" customHeight="1">
      <c r="K563" s="315"/>
    </row>
    <row r="564" ht="15.75" customHeight="1">
      <c r="K564" s="315"/>
    </row>
    <row r="565" ht="15.75" customHeight="1">
      <c r="K565" s="315"/>
    </row>
    <row r="566" ht="15.75" customHeight="1">
      <c r="K566" s="315"/>
    </row>
    <row r="567" ht="15.75" customHeight="1">
      <c r="K567" s="315"/>
    </row>
    <row r="568" ht="15.75" customHeight="1">
      <c r="K568" s="315"/>
    </row>
    <row r="569" ht="15.75" customHeight="1">
      <c r="K569" s="315"/>
    </row>
    <row r="570" ht="15.75" customHeight="1">
      <c r="K570" s="315"/>
    </row>
    <row r="571" ht="15.75" customHeight="1">
      <c r="K571" s="315"/>
    </row>
    <row r="572" ht="15.75" customHeight="1">
      <c r="K572" s="315"/>
    </row>
    <row r="573" ht="15.75" customHeight="1">
      <c r="K573" s="315"/>
    </row>
    <row r="574" ht="15.75" customHeight="1">
      <c r="K574" s="315"/>
    </row>
    <row r="575" ht="15.75" customHeight="1">
      <c r="K575" s="315"/>
    </row>
    <row r="576" ht="15.75" customHeight="1">
      <c r="K576" s="315"/>
    </row>
    <row r="577" ht="15.75" customHeight="1">
      <c r="K577" s="315"/>
    </row>
    <row r="578" ht="15.75" customHeight="1">
      <c r="K578" s="315"/>
    </row>
    <row r="579" ht="15.75" customHeight="1">
      <c r="K579" s="315"/>
    </row>
    <row r="580" ht="15.75" customHeight="1">
      <c r="K580" s="315"/>
    </row>
    <row r="581" ht="15.75" customHeight="1">
      <c r="K581" s="315"/>
    </row>
    <row r="582" ht="15.75" customHeight="1">
      <c r="K582" s="315"/>
    </row>
    <row r="583" ht="15.75" customHeight="1">
      <c r="K583" s="315"/>
    </row>
    <row r="584" ht="15.75" customHeight="1">
      <c r="K584" s="315"/>
    </row>
    <row r="585" ht="15.75" customHeight="1">
      <c r="K585" s="315"/>
    </row>
    <row r="586" ht="15.75" customHeight="1">
      <c r="K586" s="315"/>
    </row>
    <row r="587" ht="15.75" customHeight="1">
      <c r="K587" s="315"/>
    </row>
    <row r="588" ht="15.75" customHeight="1">
      <c r="K588" s="315"/>
    </row>
    <row r="589" ht="15.75" customHeight="1">
      <c r="K589" s="315"/>
    </row>
    <row r="590" ht="15.75" customHeight="1">
      <c r="K590" s="315"/>
    </row>
    <row r="591" ht="15.75" customHeight="1">
      <c r="K591" s="315"/>
    </row>
    <row r="592" ht="15.75" customHeight="1">
      <c r="K592" s="315"/>
    </row>
    <row r="593" ht="15.75" customHeight="1">
      <c r="K593" s="315"/>
    </row>
    <row r="594" ht="15.75" customHeight="1">
      <c r="K594" s="315"/>
    </row>
    <row r="595" ht="15.75" customHeight="1">
      <c r="K595" s="315"/>
    </row>
    <row r="596" ht="15.75" customHeight="1">
      <c r="K596" s="315"/>
    </row>
    <row r="597" ht="15.75" customHeight="1">
      <c r="K597" s="315"/>
    </row>
    <row r="598" ht="15.75" customHeight="1">
      <c r="K598" s="315"/>
    </row>
    <row r="599" ht="15.75" customHeight="1">
      <c r="K599" s="315"/>
    </row>
    <row r="600" ht="15.75" customHeight="1">
      <c r="K600" s="315"/>
    </row>
    <row r="601" ht="15.75" customHeight="1">
      <c r="K601" s="315"/>
    </row>
    <row r="602" ht="15.75" customHeight="1">
      <c r="K602" s="315"/>
    </row>
    <row r="603" ht="15.75" customHeight="1">
      <c r="K603" s="315"/>
    </row>
    <row r="604" ht="15.75" customHeight="1">
      <c r="K604" s="315"/>
    </row>
    <row r="605" ht="15.75" customHeight="1">
      <c r="K605" s="315"/>
    </row>
    <row r="606" ht="15.75" customHeight="1">
      <c r="K606" s="315"/>
    </row>
    <row r="607" ht="15.75" customHeight="1">
      <c r="K607" s="315"/>
    </row>
    <row r="608" ht="15.75" customHeight="1">
      <c r="K608" s="315"/>
    </row>
    <row r="609" ht="15.75" customHeight="1">
      <c r="K609" s="315"/>
    </row>
    <row r="610" ht="15.75" customHeight="1">
      <c r="K610" s="315"/>
    </row>
    <row r="611" ht="15.75" customHeight="1">
      <c r="K611" s="315"/>
    </row>
    <row r="612" ht="15.75" customHeight="1">
      <c r="K612" s="315"/>
    </row>
    <row r="613" ht="15.75" customHeight="1">
      <c r="K613" s="315"/>
    </row>
    <row r="614" ht="15.75" customHeight="1">
      <c r="K614" s="315"/>
    </row>
    <row r="615" ht="15.75" customHeight="1">
      <c r="K615" s="315"/>
    </row>
    <row r="616" ht="15.75" customHeight="1">
      <c r="K616" s="315"/>
    </row>
    <row r="617" ht="15.75" customHeight="1">
      <c r="K617" s="315"/>
    </row>
    <row r="618" ht="15.75" customHeight="1">
      <c r="K618" s="315"/>
    </row>
    <row r="619" ht="15.75" customHeight="1">
      <c r="K619" s="315"/>
    </row>
    <row r="620" ht="15.75" customHeight="1">
      <c r="K620" s="315"/>
    </row>
    <row r="621" ht="15.75" customHeight="1">
      <c r="K621" s="315"/>
    </row>
    <row r="622" ht="15.75" customHeight="1">
      <c r="K622" s="315"/>
    </row>
    <row r="623" ht="15.75" customHeight="1">
      <c r="K623" s="315"/>
    </row>
    <row r="624" ht="15.75" customHeight="1">
      <c r="K624" s="315"/>
    </row>
    <row r="625" ht="15.75" customHeight="1">
      <c r="K625" s="315"/>
    </row>
    <row r="626" ht="15.75" customHeight="1">
      <c r="K626" s="315"/>
    </row>
    <row r="627" ht="15.75" customHeight="1">
      <c r="K627" s="315"/>
    </row>
    <row r="628" ht="15.75" customHeight="1">
      <c r="K628" s="315"/>
    </row>
    <row r="629" ht="15.75" customHeight="1">
      <c r="K629" s="315"/>
    </row>
    <row r="630" ht="15.75" customHeight="1">
      <c r="K630" s="315"/>
    </row>
    <row r="631" ht="15.75" customHeight="1">
      <c r="K631" s="315"/>
    </row>
    <row r="632" ht="15.75" customHeight="1">
      <c r="K632" s="315"/>
    </row>
    <row r="633" ht="15.75" customHeight="1">
      <c r="K633" s="315"/>
    </row>
    <row r="634" ht="15.75" customHeight="1">
      <c r="K634" s="315"/>
    </row>
    <row r="635" ht="15.75" customHeight="1">
      <c r="K635" s="315"/>
    </row>
    <row r="636" ht="15.75" customHeight="1">
      <c r="K636" s="315"/>
    </row>
    <row r="637" ht="15.75" customHeight="1">
      <c r="K637" s="315"/>
    </row>
    <row r="638" ht="15.75" customHeight="1">
      <c r="K638" s="315"/>
    </row>
    <row r="639" ht="15.75" customHeight="1">
      <c r="K639" s="315"/>
    </row>
    <row r="640" ht="15.75" customHeight="1">
      <c r="K640" s="315"/>
    </row>
    <row r="641" ht="15.75" customHeight="1">
      <c r="K641" s="315"/>
    </row>
    <row r="642" ht="15.75" customHeight="1">
      <c r="K642" s="315"/>
    </row>
    <row r="643" ht="15.75" customHeight="1">
      <c r="K643" s="315"/>
    </row>
    <row r="644" ht="15.75" customHeight="1">
      <c r="K644" s="315"/>
    </row>
    <row r="645" ht="15.75" customHeight="1">
      <c r="K645" s="315"/>
    </row>
    <row r="646" ht="15.75" customHeight="1">
      <c r="K646" s="315"/>
    </row>
    <row r="647" ht="15.75" customHeight="1">
      <c r="K647" s="315"/>
    </row>
    <row r="648" ht="15.75" customHeight="1">
      <c r="K648" s="315"/>
    </row>
    <row r="649" ht="15.75" customHeight="1">
      <c r="K649" s="315"/>
    </row>
    <row r="650" ht="15.75" customHeight="1">
      <c r="K650" s="315"/>
    </row>
    <row r="651" ht="15.75" customHeight="1">
      <c r="K651" s="315"/>
    </row>
    <row r="652" ht="15.75" customHeight="1">
      <c r="K652" s="315"/>
    </row>
    <row r="653" ht="15.75" customHeight="1">
      <c r="K653" s="315"/>
    </row>
    <row r="654" ht="15.75" customHeight="1">
      <c r="K654" s="315"/>
    </row>
    <row r="655" ht="15.75" customHeight="1">
      <c r="K655" s="315"/>
    </row>
    <row r="656" ht="15.75" customHeight="1">
      <c r="K656" s="315"/>
    </row>
    <row r="657" ht="15.75" customHeight="1">
      <c r="K657" s="315"/>
    </row>
    <row r="658" ht="15.75" customHeight="1">
      <c r="K658" s="315"/>
    </row>
    <row r="659" ht="15.75" customHeight="1">
      <c r="K659" s="315"/>
    </row>
    <row r="660" ht="15.75" customHeight="1">
      <c r="K660" s="315"/>
    </row>
    <row r="661" ht="15.75" customHeight="1">
      <c r="K661" s="315"/>
    </row>
    <row r="662" ht="15.75" customHeight="1">
      <c r="K662" s="315"/>
    </row>
    <row r="663" ht="15.75" customHeight="1">
      <c r="K663" s="315"/>
    </row>
    <row r="664" ht="15.75" customHeight="1">
      <c r="K664" s="315"/>
    </row>
    <row r="665" ht="15.75" customHeight="1">
      <c r="K665" s="315"/>
    </row>
    <row r="666" ht="15.75" customHeight="1">
      <c r="K666" s="315"/>
    </row>
    <row r="667" ht="15.75" customHeight="1">
      <c r="K667" s="315"/>
    </row>
    <row r="668" ht="15.75" customHeight="1">
      <c r="K668" s="315"/>
    </row>
    <row r="669" ht="15.75" customHeight="1">
      <c r="K669" s="315"/>
    </row>
    <row r="670" ht="15.75" customHeight="1">
      <c r="K670" s="315"/>
    </row>
    <row r="671" ht="15.75" customHeight="1">
      <c r="K671" s="315"/>
    </row>
    <row r="672" ht="15.75" customHeight="1">
      <c r="K672" s="315"/>
    </row>
    <row r="673" ht="15.75" customHeight="1">
      <c r="K673" s="315"/>
    </row>
    <row r="674" ht="15.75" customHeight="1">
      <c r="K674" s="315"/>
    </row>
    <row r="675" ht="15.75" customHeight="1">
      <c r="K675" s="315"/>
    </row>
    <row r="676" ht="15.75" customHeight="1">
      <c r="K676" s="315"/>
    </row>
    <row r="677" ht="15.75" customHeight="1">
      <c r="K677" s="315"/>
    </row>
    <row r="678" ht="15.75" customHeight="1">
      <c r="K678" s="315"/>
    </row>
    <row r="679" ht="15.75" customHeight="1">
      <c r="K679" s="315"/>
    </row>
    <row r="680" ht="15.75" customHeight="1">
      <c r="K680" s="315"/>
    </row>
    <row r="681" ht="15.75" customHeight="1">
      <c r="K681" s="315"/>
    </row>
    <row r="682" ht="15.75" customHeight="1">
      <c r="K682" s="315"/>
    </row>
    <row r="683" ht="15.75" customHeight="1">
      <c r="K683" s="315"/>
    </row>
    <row r="684" ht="15.75" customHeight="1">
      <c r="K684" s="315"/>
    </row>
    <row r="685" ht="15.75" customHeight="1">
      <c r="K685" s="315"/>
    </row>
    <row r="686" ht="15.75" customHeight="1">
      <c r="K686" s="315"/>
    </row>
    <row r="687" ht="15.75" customHeight="1">
      <c r="K687" s="315"/>
    </row>
    <row r="688" ht="15.75" customHeight="1">
      <c r="K688" s="315"/>
    </row>
    <row r="689" ht="15.75" customHeight="1">
      <c r="K689" s="315"/>
    </row>
    <row r="690" ht="15.75" customHeight="1">
      <c r="K690" s="315"/>
    </row>
    <row r="691" ht="15.75" customHeight="1">
      <c r="K691" s="315"/>
    </row>
    <row r="692" ht="15.75" customHeight="1">
      <c r="K692" s="315"/>
    </row>
    <row r="693" ht="15.75" customHeight="1">
      <c r="K693" s="315"/>
    </row>
    <row r="694" ht="15.75" customHeight="1">
      <c r="K694" s="315"/>
    </row>
    <row r="695" ht="15.75" customHeight="1">
      <c r="K695" s="315"/>
    </row>
    <row r="696" ht="15.75" customHeight="1">
      <c r="K696" s="315"/>
    </row>
    <row r="697" ht="15.75" customHeight="1">
      <c r="K697" s="315"/>
    </row>
    <row r="698" ht="15.75" customHeight="1">
      <c r="K698" s="315"/>
    </row>
    <row r="699" ht="15.75" customHeight="1">
      <c r="K699" s="315"/>
    </row>
    <row r="700" ht="15.75" customHeight="1">
      <c r="K700" s="315"/>
    </row>
    <row r="701" ht="15.75" customHeight="1">
      <c r="K701" s="315"/>
    </row>
    <row r="702" ht="15.75" customHeight="1">
      <c r="K702" s="315"/>
    </row>
    <row r="703" ht="15.75" customHeight="1">
      <c r="K703" s="315"/>
    </row>
    <row r="704" ht="15.75" customHeight="1">
      <c r="K704" s="315"/>
    </row>
    <row r="705" ht="15.75" customHeight="1">
      <c r="K705" s="315"/>
    </row>
    <row r="706" ht="15.75" customHeight="1">
      <c r="K706" s="315"/>
    </row>
    <row r="707" ht="15.75" customHeight="1">
      <c r="K707" s="315"/>
    </row>
    <row r="708" ht="15.75" customHeight="1">
      <c r="K708" s="315"/>
    </row>
    <row r="709" ht="15.75" customHeight="1">
      <c r="K709" s="315"/>
    </row>
    <row r="710" ht="15.75" customHeight="1">
      <c r="K710" s="315"/>
    </row>
    <row r="711" ht="15.75" customHeight="1">
      <c r="K711" s="315"/>
    </row>
    <row r="712" ht="15.75" customHeight="1">
      <c r="K712" s="315"/>
    </row>
    <row r="713" ht="15.75" customHeight="1">
      <c r="K713" s="315"/>
    </row>
    <row r="714" ht="15.75" customHeight="1">
      <c r="K714" s="315"/>
    </row>
    <row r="715" ht="15.75" customHeight="1">
      <c r="K715" s="315"/>
    </row>
    <row r="716" ht="15.75" customHeight="1">
      <c r="K716" s="315"/>
    </row>
    <row r="717" ht="15.75" customHeight="1">
      <c r="K717" s="315"/>
    </row>
    <row r="718" ht="15.75" customHeight="1">
      <c r="K718" s="315"/>
    </row>
    <row r="719" ht="15.75" customHeight="1">
      <c r="K719" s="315"/>
    </row>
    <row r="720" ht="15.75" customHeight="1">
      <c r="K720" s="315"/>
    </row>
    <row r="721" ht="15.75" customHeight="1">
      <c r="K721" s="315"/>
    </row>
    <row r="722" ht="15.75" customHeight="1">
      <c r="K722" s="315"/>
    </row>
    <row r="723" ht="15.75" customHeight="1">
      <c r="K723" s="315"/>
    </row>
    <row r="724" ht="15.75" customHeight="1">
      <c r="K724" s="315"/>
    </row>
    <row r="725" ht="15.75" customHeight="1">
      <c r="K725" s="315"/>
    </row>
    <row r="726" ht="15.75" customHeight="1">
      <c r="K726" s="315"/>
    </row>
    <row r="727" ht="15.75" customHeight="1">
      <c r="K727" s="315"/>
    </row>
    <row r="728" ht="15.75" customHeight="1">
      <c r="K728" s="315"/>
    </row>
    <row r="729" ht="15.75" customHeight="1">
      <c r="K729" s="315"/>
    </row>
    <row r="730" ht="15.75" customHeight="1">
      <c r="K730" s="315"/>
    </row>
    <row r="731" ht="15.75" customHeight="1">
      <c r="K731" s="315"/>
    </row>
    <row r="732" ht="15.75" customHeight="1">
      <c r="K732" s="315"/>
    </row>
    <row r="733" ht="15.75" customHeight="1">
      <c r="K733" s="315"/>
    </row>
    <row r="734" ht="15.75" customHeight="1">
      <c r="K734" s="315"/>
    </row>
    <row r="735" ht="15.75" customHeight="1">
      <c r="K735" s="315"/>
    </row>
    <row r="736" ht="15.75" customHeight="1">
      <c r="K736" s="315"/>
    </row>
    <row r="737" ht="15.75" customHeight="1">
      <c r="K737" s="315"/>
    </row>
    <row r="738" ht="15.75" customHeight="1">
      <c r="K738" s="315"/>
    </row>
    <row r="739" ht="15.75" customHeight="1">
      <c r="K739" s="315"/>
    </row>
    <row r="740" ht="15.75" customHeight="1">
      <c r="K740" s="315"/>
    </row>
    <row r="741" ht="15.75" customHeight="1">
      <c r="K741" s="315"/>
    </row>
    <row r="742" ht="15.75" customHeight="1">
      <c r="K742" s="315"/>
    </row>
    <row r="743" ht="15.75" customHeight="1">
      <c r="K743" s="315"/>
    </row>
    <row r="744" ht="15.75" customHeight="1">
      <c r="K744" s="315"/>
    </row>
    <row r="745" ht="15.75" customHeight="1">
      <c r="K745" s="315"/>
    </row>
    <row r="746" ht="15.75" customHeight="1">
      <c r="K746" s="315"/>
    </row>
    <row r="747" ht="15.75" customHeight="1">
      <c r="K747" s="315"/>
    </row>
    <row r="748" ht="15.75" customHeight="1">
      <c r="K748" s="315"/>
    </row>
    <row r="749" ht="15.75" customHeight="1">
      <c r="K749" s="315"/>
    </row>
    <row r="750" ht="15.75" customHeight="1">
      <c r="K750" s="315"/>
    </row>
    <row r="751" ht="15.75" customHeight="1">
      <c r="K751" s="315"/>
    </row>
    <row r="752" ht="15.75" customHeight="1">
      <c r="K752" s="315"/>
    </row>
    <row r="753" ht="15.75" customHeight="1">
      <c r="K753" s="315"/>
    </row>
    <row r="754" ht="15.75" customHeight="1">
      <c r="K754" s="315"/>
    </row>
    <row r="755" ht="15.75" customHeight="1">
      <c r="K755" s="315"/>
    </row>
    <row r="756" ht="15.75" customHeight="1">
      <c r="K756" s="315"/>
    </row>
    <row r="757" ht="15.75" customHeight="1">
      <c r="K757" s="315"/>
    </row>
    <row r="758" ht="15.75" customHeight="1">
      <c r="K758" s="315"/>
    </row>
    <row r="759" ht="15.75" customHeight="1">
      <c r="K759" s="315"/>
    </row>
    <row r="760" ht="15.75" customHeight="1">
      <c r="K760" s="315"/>
    </row>
    <row r="761" ht="15.75" customHeight="1">
      <c r="K761" s="315"/>
    </row>
    <row r="762" ht="15.75" customHeight="1">
      <c r="K762" s="315"/>
    </row>
    <row r="763" ht="15.75" customHeight="1">
      <c r="K763" s="315"/>
    </row>
    <row r="764" ht="15.75" customHeight="1">
      <c r="K764" s="315"/>
    </row>
    <row r="765" ht="15.75" customHeight="1">
      <c r="K765" s="315"/>
    </row>
    <row r="766" ht="15.75" customHeight="1">
      <c r="K766" s="315"/>
    </row>
    <row r="767" ht="15.75" customHeight="1">
      <c r="K767" s="315"/>
    </row>
    <row r="768" ht="15.75" customHeight="1">
      <c r="K768" s="315"/>
    </row>
    <row r="769" ht="15.75" customHeight="1">
      <c r="K769" s="315"/>
    </row>
    <row r="770" ht="15.75" customHeight="1">
      <c r="K770" s="315"/>
    </row>
    <row r="771" ht="15.75" customHeight="1">
      <c r="K771" s="315"/>
    </row>
    <row r="772" ht="15.75" customHeight="1">
      <c r="K772" s="315"/>
    </row>
    <row r="773" ht="15.75" customHeight="1">
      <c r="K773" s="315"/>
    </row>
    <row r="774" ht="15.75" customHeight="1">
      <c r="K774" s="315"/>
    </row>
    <row r="775" ht="15.75" customHeight="1">
      <c r="K775" s="315"/>
    </row>
    <row r="776" ht="15.75" customHeight="1">
      <c r="K776" s="315"/>
    </row>
    <row r="777" ht="15.75" customHeight="1">
      <c r="K777" s="315"/>
    </row>
    <row r="778" ht="15.75" customHeight="1">
      <c r="K778" s="315"/>
    </row>
    <row r="779" ht="15.75" customHeight="1">
      <c r="K779" s="315"/>
    </row>
    <row r="780" ht="15.75" customHeight="1">
      <c r="K780" s="315"/>
    </row>
    <row r="781" ht="15.75" customHeight="1">
      <c r="K781" s="315"/>
    </row>
    <row r="782" ht="15.75" customHeight="1">
      <c r="K782" s="315"/>
    </row>
    <row r="783" ht="15.75" customHeight="1">
      <c r="K783" s="315"/>
    </row>
    <row r="784" ht="15.75" customHeight="1">
      <c r="K784" s="315"/>
    </row>
    <row r="785" ht="15.75" customHeight="1">
      <c r="K785" s="315"/>
    </row>
    <row r="786" ht="15.75" customHeight="1">
      <c r="K786" s="315"/>
    </row>
    <row r="787" ht="15.75" customHeight="1">
      <c r="K787" s="315"/>
    </row>
    <row r="788" ht="15.75" customHeight="1">
      <c r="K788" s="315"/>
    </row>
    <row r="789" ht="15.75" customHeight="1">
      <c r="K789" s="315"/>
    </row>
    <row r="790" ht="15.75" customHeight="1">
      <c r="K790" s="315"/>
    </row>
    <row r="791" ht="15.75" customHeight="1">
      <c r="K791" s="315"/>
    </row>
    <row r="792" ht="15.75" customHeight="1">
      <c r="K792" s="315"/>
    </row>
    <row r="793" ht="15.75" customHeight="1">
      <c r="K793" s="315"/>
    </row>
    <row r="794" ht="15.75" customHeight="1">
      <c r="K794" s="315"/>
    </row>
    <row r="795" ht="15.75" customHeight="1">
      <c r="K795" s="315"/>
    </row>
    <row r="796" ht="15.75" customHeight="1">
      <c r="K796" s="315"/>
    </row>
    <row r="797" ht="15.75" customHeight="1">
      <c r="K797" s="315"/>
    </row>
    <row r="798" ht="15.75" customHeight="1">
      <c r="K798" s="315"/>
    </row>
    <row r="799" ht="15.75" customHeight="1">
      <c r="K799" s="315"/>
    </row>
    <row r="800" ht="15.75" customHeight="1">
      <c r="K800" s="315"/>
    </row>
    <row r="801" ht="15.75" customHeight="1">
      <c r="K801" s="315"/>
    </row>
    <row r="802" ht="15.75" customHeight="1">
      <c r="K802" s="315"/>
    </row>
    <row r="803" ht="15.75" customHeight="1">
      <c r="K803" s="315"/>
    </row>
    <row r="804" ht="15.75" customHeight="1">
      <c r="K804" s="315"/>
    </row>
    <row r="805" ht="15.75" customHeight="1">
      <c r="K805" s="315"/>
    </row>
    <row r="806" ht="15.75" customHeight="1">
      <c r="K806" s="315"/>
    </row>
    <row r="807" ht="15.75" customHeight="1">
      <c r="K807" s="315"/>
    </row>
    <row r="808" ht="15.75" customHeight="1">
      <c r="K808" s="315"/>
    </row>
    <row r="809" ht="15.75" customHeight="1">
      <c r="K809" s="315"/>
    </row>
    <row r="810" ht="15.75" customHeight="1">
      <c r="K810" s="315"/>
    </row>
    <row r="811" ht="15.75" customHeight="1">
      <c r="K811" s="315"/>
    </row>
    <row r="812" ht="15.75" customHeight="1">
      <c r="K812" s="315"/>
    </row>
    <row r="813" ht="15.75" customHeight="1">
      <c r="K813" s="315"/>
    </row>
    <row r="814" ht="15.75" customHeight="1">
      <c r="K814" s="315"/>
    </row>
    <row r="815" ht="15.75" customHeight="1">
      <c r="K815" s="315"/>
    </row>
    <row r="816" ht="15.75" customHeight="1">
      <c r="K816" s="315"/>
    </row>
    <row r="817" ht="15.75" customHeight="1">
      <c r="K817" s="315"/>
    </row>
    <row r="818" ht="15.75" customHeight="1">
      <c r="K818" s="315"/>
    </row>
    <row r="819" ht="15.75" customHeight="1">
      <c r="K819" s="315"/>
    </row>
    <row r="820" ht="15.75" customHeight="1">
      <c r="K820" s="315"/>
    </row>
    <row r="821" ht="15.75" customHeight="1">
      <c r="K821" s="315"/>
    </row>
    <row r="822" ht="15.75" customHeight="1">
      <c r="K822" s="315"/>
    </row>
    <row r="823" ht="15.75" customHeight="1">
      <c r="K823" s="315"/>
    </row>
    <row r="824" ht="15.75" customHeight="1">
      <c r="K824" s="315"/>
    </row>
    <row r="825" ht="15.75" customHeight="1">
      <c r="K825" s="315"/>
    </row>
    <row r="826" ht="15.75" customHeight="1">
      <c r="K826" s="315"/>
    </row>
    <row r="827" ht="15.75" customHeight="1">
      <c r="K827" s="315"/>
    </row>
    <row r="828" ht="15.75" customHeight="1">
      <c r="K828" s="315"/>
    </row>
    <row r="829" ht="15.75" customHeight="1">
      <c r="K829" s="315"/>
    </row>
    <row r="830" ht="15.75" customHeight="1">
      <c r="K830" s="315"/>
    </row>
    <row r="831" ht="15.75" customHeight="1">
      <c r="K831" s="315"/>
    </row>
    <row r="832" ht="15.75" customHeight="1">
      <c r="K832" s="315"/>
    </row>
    <row r="833" ht="15.75" customHeight="1">
      <c r="K833" s="315"/>
    </row>
    <row r="834" ht="15.75" customHeight="1">
      <c r="K834" s="315"/>
    </row>
    <row r="835" ht="15.75" customHeight="1">
      <c r="K835" s="315"/>
    </row>
    <row r="836" ht="15.75" customHeight="1">
      <c r="K836" s="315"/>
    </row>
    <row r="837" ht="15.75" customHeight="1">
      <c r="K837" s="315"/>
    </row>
    <row r="838" ht="15.75" customHeight="1">
      <c r="K838" s="315"/>
    </row>
    <row r="839" ht="15.75" customHeight="1">
      <c r="K839" s="315"/>
    </row>
    <row r="840" ht="15.75" customHeight="1">
      <c r="K840" s="315"/>
    </row>
    <row r="841" ht="15.75" customHeight="1">
      <c r="K841" s="315"/>
    </row>
    <row r="842" ht="15.75" customHeight="1">
      <c r="K842" s="315"/>
    </row>
    <row r="843" ht="15.75" customHeight="1">
      <c r="K843" s="315"/>
    </row>
    <row r="844" ht="15.75" customHeight="1">
      <c r="K844" s="315"/>
    </row>
    <row r="845" ht="15.75" customHeight="1">
      <c r="K845" s="315"/>
    </row>
    <row r="846" ht="15.75" customHeight="1">
      <c r="K846" s="315"/>
    </row>
    <row r="847" ht="15.75" customHeight="1">
      <c r="K847" s="315"/>
    </row>
    <row r="848" ht="15.75" customHeight="1">
      <c r="K848" s="315"/>
    </row>
    <row r="849" ht="15.75" customHeight="1">
      <c r="K849" s="315"/>
    </row>
    <row r="850" ht="15.75" customHeight="1">
      <c r="K850" s="315"/>
    </row>
    <row r="851" ht="15.75" customHeight="1">
      <c r="K851" s="315"/>
    </row>
    <row r="852" ht="15.75" customHeight="1">
      <c r="K852" s="315"/>
    </row>
    <row r="853" ht="15.75" customHeight="1">
      <c r="K853" s="315"/>
    </row>
    <row r="854" ht="15.75" customHeight="1">
      <c r="K854" s="315"/>
    </row>
    <row r="855" ht="15.75" customHeight="1">
      <c r="K855" s="315"/>
    </row>
    <row r="856" ht="15.75" customHeight="1">
      <c r="K856" s="315"/>
    </row>
    <row r="857" ht="15.75" customHeight="1">
      <c r="K857" s="315"/>
    </row>
    <row r="858" ht="15.75" customHeight="1">
      <c r="K858" s="315"/>
    </row>
    <row r="859" ht="15.75" customHeight="1">
      <c r="K859" s="315"/>
    </row>
    <row r="860" ht="15.75" customHeight="1">
      <c r="K860" s="315"/>
    </row>
    <row r="861" ht="15.75" customHeight="1">
      <c r="K861" s="315"/>
    </row>
    <row r="862" ht="15.75" customHeight="1">
      <c r="K862" s="315"/>
    </row>
    <row r="863" ht="15.75" customHeight="1">
      <c r="K863" s="315"/>
    </row>
    <row r="864" ht="15.75" customHeight="1">
      <c r="K864" s="315"/>
    </row>
    <row r="865" ht="15.75" customHeight="1">
      <c r="K865" s="315"/>
    </row>
    <row r="866" ht="15.75" customHeight="1">
      <c r="K866" s="315"/>
    </row>
    <row r="867" ht="15.75" customHeight="1">
      <c r="K867" s="315"/>
    </row>
    <row r="868" ht="15.75" customHeight="1">
      <c r="K868" s="315"/>
    </row>
    <row r="869" ht="15.75" customHeight="1">
      <c r="K869" s="315"/>
    </row>
    <row r="870" ht="15.75" customHeight="1">
      <c r="K870" s="315"/>
    </row>
    <row r="871" ht="15.75" customHeight="1">
      <c r="K871" s="315"/>
    </row>
    <row r="872" ht="15.75" customHeight="1">
      <c r="K872" s="315"/>
    </row>
    <row r="873" ht="15.75" customHeight="1">
      <c r="K873" s="315"/>
    </row>
    <row r="874" ht="15.75" customHeight="1">
      <c r="K874" s="315"/>
    </row>
    <row r="875" ht="15.75" customHeight="1">
      <c r="K875" s="315"/>
    </row>
    <row r="876" ht="15.75" customHeight="1">
      <c r="K876" s="315"/>
    </row>
    <row r="877" ht="15.75" customHeight="1">
      <c r="K877" s="315"/>
    </row>
    <row r="878" ht="15.75" customHeight="1">
      <c r="K878" s="315"/>
    </row>
    <row r="879" ht="15.75" customHeight="1">
      <c r="K879" s="315"/>
    </row>
    <row r="880" ht="15.75" customHeight="1">
      <c r="K880" s="315"/>
    </row>
    <row r="881" ht="15.75" customHeight="1">
      <c r="K881" s="315"/>
    </row>
    <row r="882" ht="15.75" customHeight="1">
      <c r="K882" s="315"/>
    </row>
    <row r="883" ht="15.75" customHeight="1">
      <c r="K883" s="315"/>
    </row>
    <row r="884" ht="15.75" customHeight="1">
      <c r="K884" s="315"/>
    </row>
    <row r="885" ht="15.75" customHeight="1">
      <c r="K885" s="315"/>
    </row>
    <row r="886" ht="15.75" customHeight="1">
      <c r="K886" s="315"/>
    </row>
    <row r="887" ht="15.75" customHeight="1">
      <c r="K887" s="315"/>
    </row>
    <row r="888" ht="15.75" customHeight="1">
      <c r="K888" s="315"/>
    </row>
    <row r="889" ht="15.75" customHeight="1">
      <c r="K889" s="315"/>
    </row>
    <row r="890" ht="15.75" customHeight="1">
      <c r="K890" s="315"/>
    </row>
    <row r="891" ht="15.75" customHeight="1">
      <c r="K891" s="315"/>
    </row>
    <row r="892" ht="15.75" customHeight="1">
      <c r="K892" s="315"/>
    </row>
    <row r="893" ht="15.75" customHeight="1">
      <c r="K893" s="315"/>
    </row>
    <row r="894" ht="15.75" customHeight="1">
      <c r="K894" s="315"/>
    </row>
    <row r="895" ht="15.75" customHeight="1">
      <c r="K895" s="315"/>
    </row>
    <row r="896" ht="15.75" customHeight="1">
      <c r="K896" s="315"/>
    </row>
    <row r="897" ht="15.75" customHeight="1">
      <c r="K897" s="315"/>
    </row>
    <row r="898" ht="15.75" customHeight="1">
      <c r="K898" s="315"/>
    </row>
    <row r="899" ht="15.75" customHeight="1">
      <c r="K899" s="315"/>
    </row>
    <row r="900" ht="15.75" customHeight="1">
      <c r="K900" s="315"/>
    </row>
    <row r="901" ht="15.75" customHeight="1">
      <c r="K901" s="315"/>
    </row>
    <row r="902" ht="15.75" customHeight="1">
      <c r="K902" s="315"/>
    </row>
    <row r="903" ht="15.75" customHeight="1">
      <c r="K903" s="315"/>
    </row>
    <row r="904" ht="15.75" customHeight="1">
      <c r="K904" s="315"/>
    </row>
    <row r="905" ht="15.75" customHeight="1">
      <c r="K905" s="315"/>
    </row>
    <row r="906" ht="15.75" customHeight="1">
      <c r="K906" s="315"/>
    </row>
    <row r="907" ht="15.75" customHeight="1">
      <c r="K907" s="315"/>
    </row>
    <row r="908" ht="15.75" customHeight="1">
      <c r="K908" s="315"/>
    </row>
    <row r="909" ht="15.75" customHeight="1">
      <c r="K909" s="315"/>
    </row>
    <row r="910" ht="15.75" customHeight="1">
      <c r="K910" s="315"/>
    </row>
    <row r="911" ht="15.75" customHeight="1">
      <c r="K911" s="315"/>
    </row>
    <row r="912" ht="15.75" customHeight="1">
      <c r="K912" s="315"/>
    </row>
    <row r="913" ht="15.75" customHeight="1">
      <c r="K913" s="315"/>
    </row>
    <row r="914" ht="15.75" customHeight="1">
      <c r="K914" s="315"/>
    </row>
    <row r="915" ht="15.75" customHeight="1">
      <c r="K915" s="315"/>
    </row>
    <row r="916" ht="15.75" customHeight="1">
      <c r="K916" s="315"/>
    </row>
    <row r="917" ht="15.75" customHeight="1">
      <c r="K917" s="315"/>
    </row>
    <row r="918" ht="15.75" customHeight="1">
      <c r="K918" s="315"/>
    </row>
    <row r="919" ht="15.75" customHeight="1">
      <c r="K919" s="315"/>
    </row>
    <row r="920" ht="15.75" customHeight="1">
      <c r="K920" s="315"/>
    </row>
    <row r="921" ht="15.75" customHeight="1">
      <c r="K921" s="315"/>
    </row>
    <row r="922" ht="15.75" customHeight="1">
      <c r="K922" s="315"/>
    </row>
    <row r="923" ht="15.75" customHeight="1">
      <c r="K923" s="315"/>
    </row>
    <row r="924" ht="15.75" customHeight="1">
      <c r="K924" s="315"/>
    </row>
    <row r="925" ht="15.75" customHeight="1">
      <c r="K925" s="315"/>
    </row>
    <row r="926" ht="15.75" customHeight="1">
      <c r="K926" s="315"/>
    </row>
    <row r="927" ht="15.75" customHeight="1">
      <c r="K927" s="315"/>
    </row>
    <row r="928" ht="15.75" customHeight="1">
      <c r="K928" s="315"/>
    </row>
    <row r="929" ht="15.75" customHeight="1">
      <c r="K929" s="315"/>
    </row>
    <row r="930" ht="15.75" customHeight="1">
      <c r="K930" s="315"/>
    </row>
    <row r="931" ht="15.75" customHeight="1">
      <c r="K931" s="315"/>
    </row>
    <row r="932" ht="15.75" customHeight="1">
      <c r="K932" s="315"/>
    </row>
    <row r="933" ht="15.75" customHeight="1">
      <c r="K933" s="315"/>
    </row>
    <row r="934" ht="15.75" customHeight="1">
      <c r="K934" s="315"/>
    </row>
    <row r="935" ht="15.75" customHeight="1">
      <c r="K935" s="315"/>
    </row>
    <row r="936" ht="15.75" customHeight="1">
      <c r="K936" s="315"/>
    </row>
    <row r="937" ht="15.75" customHeight="1">
      <c r="K937" s="315"/>
    </row>
    <row r="938" ht="15.75" customHeight="1">
      <c r="K938" s="315"/>
    </row>
    <row r="939" ht="15.75" customHeight="1">
      <c r="K939" s="315"/>
    </row>
    <row r="940" ht="15.75" customHeight="1">
      <c r="K940" s="315"/>
    </row>
    <row r="941" ht="15.75" customHeight="1">
      <c r="K941" s="315"/>
    </row>
    <row r="942" ht="15.75" customHeight="1">
      <c r="K942" s="315"/>
    </row>
    <row r="943" ht="15.75" customHeight="1">
      <c r="K943" s="315"/>
    </row>
    <row r="944" ht="15.75" customHeight="1">
      <c r="K944" s="315"/>
    </row>
    <row r="945" ht="15.75" customHeight="1">
      <c r="K945" s="315"/>
    </row>
    <row r="946" ht="15.75" customHeight="1">
      <c r="K946" s="315"/>
    </row>
    <row r="947" ht="15.75" customHeight="1">
      <c r="K947" s="315"/>
    </row>
    <row r="948" ht="15.75" customHeight="1">
      <c r="K948" s="315"/>
    </row>
    <row r="949" ht="15.75" customHeight="1">
      <c r="K949" s="315"/>
    </row>
    <row r="950" ht="15.75" customHeight="1">
      <c r="K950" s="315"/>
    </row>
    <row r="951" ht="15.75" customHeight="1">
      <c r="K951" s="315"/>
    </row>
    <row r="952" ht="15.75" customHeight="1">
      <c r="K952" s="315"/>
    </row>
    <row r="953" ht="15.75" customHeight="1">
      <c r="K953" s="315"/>
    </row>
    <row r="954" ht="15.75" customHeight="1">
      <c r="K954" s="315"/>
    </row>
    <row r="955" ht="15.75" customHeight="1">
      <c r="K955" s="315"/>
    </row>
    <row r="956" ht="15.75" customHeight="1">
      <c r="K956" s="315"/>
    </row>
    <row r="957" ht="15.75" customHeight="1">
      <c r="K957" s="315"/>
    </row>
    <row r="958" ht="15.75" customHeight="1">
      <c r="K958" s="315"/>
    </row>
    <row r="959" ht="15.75" customHeight="1">
      <c r="K959" s="315"/>
    </row>
    <row r="960" ht="15.75" customHeight="1">
      <c r="K960" s="315"/>
    </row>
    <row r="961" ht="15.75" customHeight="1">
      <c r="K961" s="315"/>
    </row>
    <row r="962" ht="15.75" customHeight="1">
      <c r="K962" s="315"/>
    </row>
    <row r="963" ht="15.75" customHeight="1">
      <c r="K963" s="315"/>
    </row>
    <row r="964" ht="15.75" customHeight="1">
      <c r="K964" s="315"/>
    </row>
    <row r="965" ht="15.75" customHeight="1">
      <c r="K965" s="315"/>
    </row>
    <row r="966" ht="15.75" customHeight="1">
      <c r="K966" s="315"/>
    </row>
    <row r="967" ht="15.75" customHeight="1">
      <c r="K967" s="315"/>
    </row>
    <row r="968" ht="15.75" customHeight="1">
      <c r="K968" s="315"/>
    </row>
    <row r="969" ht="15.75" customHeight="1">
      <c r="K969" s="315"/>
    </row>
    <row r="970" ht="15.75" customHeight="1">
      <c r="K970" s="315"/>
    </row>
    <row r="971" ht="15.75" customHeight="1">
      <c r="K971" s="315"/>
    </row>
    <row r="972" ht="15.75" customHeight="1">
      <c r="K972" s="315"/>
    </row>
    <row r="973" ht="15.75" customHeight="1">
      <c r="K973" s="315"/>
    </row>
    <row r="974" ht="15.75" customHeight="1">
      <c r="K974" s="315"/>
    </row>
    <row r="975" ht="15.75" customHeight="1">
      <c r="K975" s="315"/>
    </row>
    <row r="976" ht="15.75" customHeight="1">
      <c r="K976" s="315"/>
    </row>
    <row r="977" ht="15.75" customHeight="1">
      <c r="K977" s="315"/>
    </row>
    <row r="978" ht="15.75" customHeight="1">
      <c r="K978" s="315"/>
    </row>
    <row r="979" ht="15.75" customHeight="1">
      <c r="K979" s="315"/>
    </row>
    <row r="980" ht="15.75" customHeight="1">
      <c r="K980" s="315"/>
    </row>
    <row r="981" ht="15.75" customHeight="1">
      <c r="K981" s="315"/>
    </row>
    <row r="982" ht="15.75" customHeight="1">
      <c r="K982" s="315"/>
    </row>
    <row r="983" ht="15.75" customHeight="1">
      <c r="K983" s="315"/>
    </row>
    <row r="984" ht="15.75" customHeight="1">
      <c r="K984" s="315"/>
    </row>
    <row r="985" ht="15.75" customHeight="1">
      <c r="K985" s="315"/>
    </row>
    <row r="986" ht="15.75" customHeight="1">
      <c r="K986" s="315"/>
    </row>
    <row r="987" ht="15.75" customHeight="1">
      <c r="K987" s="315"/>
    </row>
    <row r="988" ht="15.75" customHeight="1">
      <c r="K988" s="315"/>
    </row>
    <row r="989" ht="15.75" customHeight="1">
      <c r="K989" s="315"/>
    </row>
    <row r="990" ht="15.75" customHeight="1">
      <c r="K990" s="315"/>
    </row>
    <row r="991" ht="15.75" customHeight="1">
      <c r="K991" s="315"/>
    </row>
    <row r="992" ht="15.75" customHeight="1">
      <c r="K992" s="315"/>
    </row>
    <row r="993" ht="15.75" customHeight="1">
      <c r="K993" s="315"/>
    </row>
    <row r="994" ht="15.75" customHeight="1">
      <c r="K994" s="315"/>
    </row>
    <row r="995" ht="15.75" customHeight="1">
      <c r="K995" s="315"/>
    </row>
    <row r="996" ht="15.75" customHeight="1">
      <c r="K996" s="315"/>
    </row>
    <row r="997" ht="15.75" customHeight="1">
      <c r="K997" s="315"/>
    </row>
    <row r="998" ht="15.75" customHeight="1">
      <c r="K998" s="315"/>
    </row>
    <row r="999" ht="15.75" customHeight="1">
      <c r="K999" s="315"/>
    </row>
    <row r="1000" ht="15.75" customHeight="1">
      <c r="K1000" s="315"/>
    </row>
    <row r="1001" ht="15.75" customHeight="1">
      <c r="K1001" s="315"/>
    </row>
    <row r="1002" ht="15.75" customHeight="1">
      <c r="K1002" s="315"/>
    </row>
    <row r="1003" ht="15.75" customHeight="1">
      <c r="K1003" s="315"/>
    </row>
    <row r="1004" ht="15.75" customHeight="1">
      <c r="K1004" s="315"/>
    </row>
    <row r="1005" ht="15.75" customHeight="1">
      <c r="K1005" s="315"/>
    </row>
    <row r="1006" ht="15.75" customHeight="1">
      <c r="K1006" s="315"/>
    </row>
    <row r="1007" ht="15.75" customHeight="1">
      <c r="K1007" s="315"/>
    </row>
    <row r="1008" ht="15.75" customHeight="1">
      <c r="K1008" s="315"/>
    </row>
    <row r="1009" ht="15.75" customHeight="1">
      <c r="K1009" s="315"/>
    </row>
    <row r="1010" ht="15.75" customHeight="1">
      <c r="K1010" s="315"/>
    </row>
    <row r="1011" ht="15.75" customHeight="1">
      <c r="K1011" s="315"/>
    </row>
    <row r="1012" ht="15.75" customHeight="1">
      <c r="K1012" s="315"/>
    </row>
    <row r="1013" ht="15.75" customHeight="1">
      <c r="K1013" s="315"/>
    </row>
    <row r="1014" ht="15.75" customHeight="1">
      <c r="K1014" s="315"/>
    </row>
    <row r="1015" ht="15.75" customHeight="1">
      <c r="K1015" s="315"/>
    </row>
    <row r="1016" ht="15.75" customHeight="1">
      <c r="K1016" s="315"/>
    </row>
    <row r="1017" ht="15.75" customHeight="1">
      <c r="K1017" s="315"/>
    </row>
    <row r="1018" ht="15.75" customHeight="1">
      <c r="K1018" s="315"/>
    </row>
    <row r="1019" ht="15.75" customHeight="1">
      <c r="K1019" s="315"/>
    </row>
    <row r="1020" ht="15.75" customHeight="1">
      <c r="K1020" s="315"/>
    </row>
    <row r="1021" ht="15.75" customHeight="1">
      <c r="K1021" s="315"/>
    </row>
    <row r="1022" ht="15.75" customHeight="1">
      <c r="K1022" s="315"/>
    </row>
    <row r="1023" ht="15.75" customHeight="1">
      <c r="K1023" s="315"/>
    </row>
    <row r="1024" ht="15.75" customHeight="1">
      <c r="K1024" s="315"/>
    </row>
    <row r="1025" ht="15.75" customHeight="1">
      <c r="K1025" s="315"/>
    </row>
    <row r="1026" ht="15.75" customHeight="1">
      <c r="K1026" s="315"/>
    </row>
    <row r="1027" ht="15.75" customHeight="1">
      <c r="K1027" s="315"/>
    </row>
    <row r="1028" ht="15.75" customHeight="1">
      <c r="K1028" s="315"/>
    </row>
    <row r="1029" ht="15.75" customHeight="1">
      <c r="K1029" s="315"/>
    </row>
    <row r="1030" ht="15.75" customHeight="1">
      <c r="K1030" s="315"/>
    </row>
    <row r="1031" ht="15.75" customHeight="1">
      <c r="K1031" s="315"/>
    </row>
    <row r="1032" ht="15.75" customHeight="1">
      <c r="K1032" s="315"/>
    </row>
    <row r="1033" ht="15.75" customHeight="1">
      <c r="K1033" s="315"/>
    </row>
    <row r="1034" ht="15.75" customHeight="1">
      <c r="K1034" s="315"/>
    </row>
    <row r="1035" ht="15.75" customHeight="1">
      <c r="K1035" s="315"/>
    </row>
    <row r="1036" ht="15.75" customHeight="1">
      <c r="K1036" s="315"/>
    </row>
    <row r="1037" ht="15.75" customHeight="1">
      <c r="K1037" s="315"/>
    </row>
    <row r="1038" ht="15.75" customHeight="1">
      <c r="K1038" s="315"/>
    </row>
    <row r="1039" ht="15.75" customHeight="1">
      <c r="K1039" s="315"/>
    </row>
    <row r="1040" ht="15.75" customHeight="1">
      <c r="K1040" s="315"/>
    </row>
    <row r="1041" ht="15.75" customHeight="1">
      <c r="K1041" s="315"/>
    </row>
    <row r="1042" ht="15.75" customHeight="1">
      <c r="K1042" s="315"/>
    </row>
    <row r="1043" ht="15.75" customHeight="1">
      <c r="K1043" s="315"/>
    </row>
    <row r="1044" ht="15.75" customHeight="1">
      <c r="K1044" s="315"/>
    </row>
    <row r="1045" ht="15.75" customHeight="1">
      <c r="K1045" s="315"/>
    </row>
    <row r="1046" ht="15.75" customHeight="1">
      <c r="K1046" s="315"/>
    </row>
    <row r="1047" ht="15.75" customHeight="1">
      <c r="K1047" s="315"/>
    </row>
    <row r="1048" ht="15.75" customHeight="1">
      <c r="K1048" s="315"/>
    </row>
    <row r="1049" ht="15.75" customHeight="1">
      <c r="K1049" s="315"/>
    </row>
    <row r="1050" ht="15.75" customHeight="1">
      <c r="K1050" s="315"/>
    </row>
    <row r="1051" ht="15.75" customHeight="1">
      <c r="K1051" s="315"/>
    </row>
    <row r="1052" ht="15.75" customHeight="1">
      <c r="K1052" s="315"/>
    </row>
    <row r="1053" ht="15.75" customHeight="1">
      <c r="K1053" s="315"/>
    </row>
    <row r="1054" ht="15.75" customHeight="1">
      <c r="K1054" s="315"/>
    </row>
    <row r="1055" ht="15.75" customHeight="1">
      <c r="K1055" s="315"/>
    </row>
    <row r="1056" ht="15.75" customHeight="1">
      <c r="K1056" s="315"/>
    </row>
    <row r="1057" ht="15.75" customHeight="1">
      <c r="K1057" s="315"/>
    </row>
  </sheetData>
  <dataValidations>
    <dataValidation type="list" allowBlank="1" sqref="Q2:Q88">
      <formula1>"8,9,10,11,12"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9.71"/>
    <col customWidth="1" min="2" max="2" width="17.14"/>
    <col customWidth="1" min="3" max="3" width="18.29"/>
    <col customWidth="1" min="4" max="4" width="25.43"/>
    <col customWidth="1" min="5" max="5" width="18.71"/>
    <col customWidth="1" min="6" max="6" width="24.29"/>
    <col customWidth="1" min="7" max="7" width="18.86"/>
    <col customWidth="1" min="8" max="8" width="18.0"/>
    <col customWidth="1" min="9" max="9" width="17.57"/>
    <col customWidth="1" min="10" max="10" width="17.29"/>
    <col customWidth="1" min="11" max="11" width="19.43"/>
    <col customWidth="1" min="12" max="12" width="20.29"/>
    <col customWidth="1" min="13" max="13" width="10.43"/>
    <col customWidth="1" min="14" max="14" width="8.71"/>
    <col customWidth="1" min="15" max="15" width="13.57"/>
    <col customWidth="1" min="16" max="16" width="20.14"/>
    <col customWidth="1" min="17" max="27" width="8.71"/>
  </cols>
  <sheetData>
    <row r="1" ht="22.5" customHeight="1">
      <c r="A1" s="20" t="s">
        <v>298</v>
      </c>
      <c r="B1" s="21" t="s">
        <v>299</v>
      </c>
      <c r="C1" s="21" t="s">
        <v>300</v>
      </c>
      <c r="D1" s="20" t="s">
        <v>301</v>
      </c>
      <c r="E1" s="20" t="s">
        <v>302</v>
      </c>
      <c r="F1" s="20" t="s">
        <v>303</v>
      </c>
      <c r="G1" s="21" t="s">
        <v>283</v>
      </c>
      <c r="H1" s="21" t="s">
        <v>305</v>
      </c>
      <c r="I1" s="20" t="s">
        <v>306</v>
      </c>
      <c r="J1" s="21" t="s">
        <v>307</v>
      </c>
      <c r="K1" s="20" t="s">
        <v>308</v>
      </c>
      <c r="L1" s="316" t="s">
        <v>309</v>
      </c>
      <c r="M1" s="20" t="s">
        <v>310</v>
      </c>
      <c r="N1" s="20" t="s">
        <v>311</v>
      </c>
      <c r="O1" s="20" t="s">
        <v>33</v>
      </c>
      <c r="P1" s="20" t="s">
        <v>312</v>
      </c>
      <c r="Q1" s="20" t="s">
        <v>431</v>
      </c>
    </row>
    <row r="2" ht="22.5" customHeight="1">
      <c r="A2" s="166" t="s">
        <v>432</v>
      </c>
      <c r="B2" s="166">
        <v>17.0</v>
      </c>
      <c r="C2" s="166">
        <v>24.0</v>
      </c>
      <c r="D2" s="166">
        <f t="shared" ref="D2:D3" si="1">(B2*C2)</f>
        <v>408</v>
      </c>
      <c r="E2" s="166">
        <v>1.56</v>
      </c>
      <c r="F2" s="172">
        <v>2.0</v>
      </c>
      <c r="G2" s="166" t="str">
        <f t="shared" ref="G2:G40" si="2">((F2-E2)/F2)*100 &amp; "%"</f>
        <v>22.%</v>
      </c>
      <c r="H2" s="166">
        <v>17.0</v>
      </c>
      <c r="I2" s="166">
        <f t="shared" ref="I2:I3" si="3">(C2*H2)</f>
        <v>408</v>
      </c>
      <c r="J2" s="166">
        <v>0.0</v>
      </c>
      <c r="K2" s="166">
        <f t="shared" ref="K2:K15" si="4">(J2*C2)</f>
        <v>0</v>
      </c>
      <c r="L2" s="317">
        <f t="shared" ref="L2:L40" si="5">(B2+J2-H2)</f>
        <v>0</v>
      </c>
      <c r="M2" s="166">
        <f t="shared" ref="M2:M40" si="6">(D2+K2-I2)</f>
        <v>0</v>
      </c>
      <c r="N2" s="172">
        <f t="shared" ref="N2:N14" si="7">(D2 + K2 - M2) * E2</f>
        <v>636.48</v>
      </c>
      <c r="O2" s="172">
        <f t="shared" ref="O2:O14" si="8">(I2*F2)</f>
        <v>816</v>
      </c>
      <c r="P2" s="172">
        <f t="shared" ref="P2:P14" si="9">(O2-N2)</f>
        <v>179.52</v>
      </c>
      <c r="Q2" s="23">
        <v>8.0</v>
      </c>
    </row>
    <row r="3" ht="22.5" customHeight="1">
      <c r="A3" s="166" t="s">
        <v>433</v>
      </c>
      <c r="B3" s="166">
        <v>8.0</v>
      </c>
      <c r="C3" s="166">
        <v>24.0</v>
      </c>
      <c r="D3" s="166">
        <f t="shared" si="1"/>
        <v>192</v>
      </c>
      <c r="E3" s="166">
        <v>0.58</v>
      </c>
      <c r="F3" s="166">
        <v>1.0</v>
      </c>
      <c r="G3" s="166" t="str">
        <f t="shared" si="2"/>
        <v>42.%</v>
      </c>
      <c r="H3" s="166">
        <v>8.0</v>
      </c>
      <c r="I3" s="166">
        <f t="shared" si="3"/>
        <v>192</v>
      </c>
      <c r="J3" s="166">
        <v>0.0</v>
      </c>
      <c r="K3" s="166">
        <f t="shared" si="4"/>
        <v>0</v>
      </c>
      <c r="L3" s="317">
        <f t="shared" si="5"/>
        <v>0</v>
      </c>
      <c r="M3" s="172">
        <f t="shared" si="6"/>
        <v>0</v>
      </c>
      <c r="N3" s="172">
        <f t="shared" si="7"/>
        <v>111.36</v>
      </c>
      <c r="O3" s="172">
        <f t="shared" si="8"/>
        <v>192</v>
      </c>
      <c r="P3" s="172">
        <f t="shared" si="9"/>
        <v>80.64</v>
      </c>
      <c r="Q3" s="23">
        <v>8.0</v>
      </c>
    </row>
    <row r="4" ht="22.5" customHeight="1">
      <c r="A4" s="166" t="s">
        <v>434</v>
      </c>
      <c r="B4" s="166"/>
      <c r="C4" s="166"/>
      <c r="D4" s="166">
        <v>144.0</v>
      </c>
      <c r="E4" s="166">
        <v>0.68</v>
      </c>
      <c r="F4" s="166">
        <v>1.0</v>
      </c>
      <c r="G4" s="166" t="str">
        <f t="shared" si="2"/>
        <v>32.%</v>
      </c>
      <c r="H4" s="166"/>
      <c r="I4" s="166">
        <v>144.0</v>
      </c>
      <c r="J4" s="166"/>
      <c r="K4" s="166">
        <f t="shared" si="4"/>
        <v>0</v>
      </c>
      <c r="L4" s="317">
        <f t="shared" si="5"/>
        <v>0</v>
      </c>
      <c r="M4" s="166">
        <f t="shared" si="6"/>
        <v>0</v>
      </c>
      <c r="N4" s="172">
        <f t="shared" si="7"/>
        <v>97.92</v>
      </c>
      <c r="O4" s="172">
        <f t="shared" si="8"/>
        <v>144</v>
      </c>
      <c r="P4" s="172">
        <f t="shared" si="9"/>
        <v>46.08</v>
      </c>
      <c r="Q4" s="23">
        <v>8.0</v>
      </c>
    </row>
    <row r="5" ht="22.5" customHeight="1">
      <c r="A5" s="166" t="s">
        <v>435</v>
      </c>
      <c r="B5" s="166"/>
      <c r="C5" s="166"/>
      <c r="D5" s="166">
        <v>24.0</v>
      </c>
      <c r="E5" s="166">
        <v>1.16</v>
      </c>
      <c r="F5" s="166">
        <v>2.0</v>
      </c>
      <c r="G5" s="166" t="str">
        <f t="shared" si="2"/>
        <v>42.%</v>
      </c>
      <c r="H5" s="166"/>
      <c r="I5" s="166">
        <v>24.0</v>
      </c>
      <c r="J5" s="166"/>
      <c r="K5" s="166">
        <f t="shared" si="4"/>
        <v>0</v>
      </c>
      <c r="L5" s="317">
        <f t="shared" si="5"/>
        <v>0</v>
      </c>
      <c r="M5" s="166">
        <f t="shared" si="6"/>
        <v>0</v>
      </c>
      <c r="N5" s="172">
        <f t="shared" si="7"/>
        <v>27.84</v>
      </c>
      <c r="O5" s="172">
        <f t="shared" si="8"/>
        <v>48</v>
      </c>
      <c r="P5" s="172">
        <f t="shared" si="9"/>
        <v>20.16</v>
      </c>
      <c r="Q5" s="23">
        <v>8.0</v>
      </c>
    </row>
    <row r="6" ht="22.5" customHeight="1">
      <c r="A6" s="166" t="s">
        <v>436</v>
      </c>
      <c r="B6" s="166"/>
      <c r="C6" s="166"/>
      <c r="D6" s="166">
        <v>16.0</v>
      </c>
      <c r="E6" s="166">
        <v>2.31</v>
      </c>
      <c r="F6" s="166">
        <v>3.0</v>
      </c>
      <c r="G6" s="166" t="str">
        <f t="shared" si="2"/>
        <v>23%</v>
      </c>
      <c r="H6" s="166"/>
      <c r="I6" s="166">
        <v>16.0</v>
      </c>
      <c r="J6" s="166"/>
      <c r="K6" s="166">
        <f t="shared" si="4"/>
        <v>0</v>
      </c>
      <c r="L6" s="317">
        <f t="shared" si="5"/>
        <v>0</v>
      </c>
      <c r="M6" s="172">
        <f t="shared" si="6"/>
        <v>0</v>
      </c>
      <c r="N6" s="172">
        <f t="shared" si="7"/>
        <v>36.96</v>
      </c>
      <c r="O6" s="172">
        <f t="shared" si="8"/>
        <v>48</v>
      </c>
      <c r="P6" s="172">
        <f t="shared" si="9"/>
        <v>11.04</v>
      </c>
      <c r="Q6" s="23">
        <v>8.0</v>
      </c>
    </row>
    <row r="7" ht="22.5" customHeight="1">
      <c r="A7" s="175" t="s">
        <v>437</v>
      </c>
      <c r="B7" s="175"/>
      <c r="C7" s="175"/>
      <c r="D7" s="175">
        <v>24.0</v>
      </c>
      <c r="E7" s="175">
        <v>1.14</v>
      </c>
      <c r="F7" s="175">
        <v>2.0</v>
      </c>
      <c r="G7" s="175" t="str">
        <f t="shared" si="2"/>
        <v>43.%</v>
      </c>
      <c r="H7" s="175"/>
      <c r="I7" s="175">
        <v>24.0</v>
      </c>
      <c r="J7" s="175"/>
      <c r="K7" s="175">
        <f t="shared" si="4"/>
        <v>0</v>
      </c>
      <c r="L7" s="317">
        <f t="shared" si="5"/>
        <v>0</v>
      </c>
      <c r="M7" s="178">
        <f t="shared" si="6"/>
        <v>0</v>
      </c>
      <c r="N7" s="178">
        <f t="shared" si="7"/>
        <v>27.36</v>
      </c>
      <c r="O7" s="178">
        <f t="shared" si="8"/>
        <v>48</v>
      </c>
      <c r="P7" s="178">
        <f t="shared" si="9"/>
        <v>20.64</v>
      </c>
      <c r="Q7" s="23">
        <v>8.0</v>
      </c>
    </row>
    <row r="8" ht="22.5" customHeight="1">
      <c r="A8" s="166" t="s">
        <v>438</v>
      </c>
      <c r="B8" s="166">
        <v>4.0</v>
      </c>
      <c r="C8" s="166">
        <v>24.0</v>
      </c>
      <c r="D8" s="166">
        <f>(B8*C8)</f>
        <v>96</v>
      </c>
      <c r="E8" s="166">
        <v>1.33</v>
      </c>
      <c r="F8" s="166">
        <v>2.0</v>
      </c>
      <c r="G8" s="166" t="str">
        <f t="shared" si="2"/>
        <v>33.5%</v>
      </c>
      <c r="H8" s="166">
        <v>4.0</v>
      </c>
      <c r="I8" s="166">
        <f>C8*H8</f>
        <v>96</v>
      </c>
      <c r="J8" s="166">
        <v>0.0</v>
      </c>
      <c r="K8" s="166">
        <f t="shared" si="4"/>
        <v>0</v>
      </c>
      <c r="L8" s="317">
        <f t="shared" si="5"/>
        <v>0</v>
      </c>
      <c r="M8" s="172">
        <f t="shared" si="6"/>
        <v>0</v>
      </c>
      <c r="N8" s="172">
        <f t="shared" si="7"/>
        <v>127.68</v>
      </c>
      <c r="O8" s="172">
        <f t="shared" si="8"/>
        <v>192</v>
      </c>
      <c r="P8" s="172">
        <f t="shared" si="9"/>
        <v>64.32</v>
      </c>
      <c r="Q8" s="23">
        <v>8.0</v>
      </c>
    </row>
    <row r="9" ht="22.5" customHeight="1">
      <c r="A9" s="166" t="s">
        <v>439</v>
      </c>
      <c r="B9" s="166"/>
      <c r="C9" s="166"/>
      <c r="D9" s="166">
        <v>144.0</v>
      </c>
      <c r="E9" s="166">
        <v>1.1</v>
      </c>
      <c r="F9" s="166">
        <v>2.0</v>
      </c>
      <c r="G9" s="166" t="str">
        <f t="shared" si="2"/>
        <v>45.%</v>
      </c>
      <c r="H9" s="166"/>
      <c r="I9" s="166">
        <v>10.0</v>
      </c>
      <c r="J9" s="166"/>
      <c r="K9" s="166">
        <f t="shared" si="4"/>
        <v>0</v>
      </c>
      <c r="L9" s="317">
        <f t="shared" si="5"/>
        <v>0</v>
      </c>
      <c r="M9" s="172">
        <f t="shared" si="6"/>
        <v>134</v>
      </c>
      <c r="N9" s="172">
        <f t="shared" si="7"/>
        <v>11</v>
      </c>
      <c r="O9" s="172">
        <f t="shared" si="8"/>
        <v>20</v>
      </c>
      <c r="P9" s="172">
        <f t="shared" si="9"/>
        <v>9</v>
      </c>
      <c r="Q9" s="23">
        <v>8.0</v>
      </c>
    </row>
    <row r="10" ht="22.5" customHeight="1">
      <c r="A10" s="175" t="s">
        <v>440</v>
      </c>
      <c r="B10" s="175">
        <v>2.0</v>
      </c>
      <c r="C10" s="175">
        <v>24.0</v>
      </c>
      <c r="D10" s="175">
        <f t="shared" ref="D10:D14" si="10">B10*C10</f>
        <v>48</v>
      </c>
      <c r="E10" s="175">
        <v>0.4</v>
      </c>
      <c r="F10" s="175">
        <v>1.0</v>
      </c>
      <c r="G10" s="175" t="str">
        <f t="shared" si="2"/>
        <v>60%</v>
      </c>
      <c r="H10" s="175">
        <v>2.0</v>
      </c>
      <c r="I10" s="175">
        <f>C10*H10</f>
        <v>48</v>
      </c>
      <c r="J10" s="175">
        <v>0.0</v>
      </c>
      <c r="K10" s="175">
        <f t="shared" si="4"/>
        <v>0</v>
      </c>
      <c r="L10" s="317">
        <f t="shared" si="5"/>
        <v>0</v>
      </c>
      <c r="M10" s="178">
        <f t="shared" si="6"/>
        <v>0</v>
      </c>
      <c r="N10" s="178">
        <f t="shared" si="7"/>
        <v>19.2</v>
      </c>
      <c r="O10" s="178">
        <f t="shared" si="8"/>
        <v>48</v>
      </c>
      <c r="P10" s="178">
        <f t="shared" si="9"/>
        <v>28.8</v>
      </c>
      <c r="Q10" s="23">
        <v>8.0</v>
      </c>
    </row>
    <row r="11" ht="22.5" customHeight="1">
      <c r="A11" s="175" t="s">
        <v>441</v>
      </c>
      <c r="B11" s="175">
        <v>1.0</v>
      </c>
      <c r="C11" s="175">
        <v>24.0</v>
      </c>
      <c r="D11" s="175">
        <f t="shared" si="10"/>
        <v>24</v>
      </c>
      <c r="E11" s="175">
        <v>1.12</v>
      </c>
      <c r="F11" s="175">
        <v>2.0</v>
      </c>
      <c r="G11" s="175" t="str">
        <f t="shared" si="2"/>
        <v>44.%</v>
      </c>
      <c r="H11" s="175"/>
      <c r="I11" s="175">
        <v>24.0</v>
      </c>
      <c r="J11" s="175"/>
      <c r="K11" s="175">
        <f t="shared" si="4"/>
        <v>0</v>
      </c>
      <c r="L11" s="317">
        <f t="shared" si="5"/>
        <v>1</v>
      </c>
      <c r="M11" s="178">
        <f t="shared" si="6"/>
        <v>0</v>
      </c>
      <c r="N11" s="178">
        <f t="shared" si="7"/>
        <v>26.88</v>
      </c>
      <c r="O11" s="178">
        <f t="shared" si="8"/>
        <v>48</v>
      </c>
      <c r="P11" s="178">
        <f t="shared" si="9"/>
        <v>21.12</v>
      </c>
      <c r="Q11" s="23">
        <v>8.0</v>
      </c>
    </row>
    <row r="12" ht="22.5" customHeight="1">
      <c r="A12" s="175" t="s">
        <v>442</v>
      </c>
      <c r="B12" s="175"/>
      <c r="C12" s="175"/>
      <c r="D12" s="175">
        <f t="shared" si="10"/>
        <v>0</v>
      </c>
      <c r="E12" s="175"/>
      <c r="F12" s="175"/>
      <c r="G12" s="175" t="str">
        <f t="shared" si="2"/>
        <v>#DIV/0!</v>
      </c>
      <c r="H12" s="175"/>
      <c r="I12" s="175"/>
      <c r="J12" s="175"/>
      <c r="K12" s="175">
        <f t="shared" si="4"/>
        <v>0</v>
      </c>
      <c r="L12" s="317">
        <f t="shared" si="5"/>
        <v>0</v>
      </c>
      <c r="M12" s="178">
        <f t="shared" si="6"/>
        <v>0</v>
      </c>
      <c r="N12" s="178">
        <f t="shared" si="7"/>
        <v>0</v>
      </c>
      <c r="O12" s="178">
        <f t="shared" si="8"/>
        <v>0</v>
      </c>
      <c r="P12" s="178">
        <f t="shared" si="9"/>
        <v>0</v>
      </c>
      <c r="Q12" s="37"/>
    </row>
    <row r="13" ht="22.5" customHeight="1">
      <c r="A13" s="175" t="s">
        <v>443</v>
      </c>
      <c r="B13" s="175">
        <v>1.0</v>
      </c>
      <c r="C13" s="175">
        <v>24.0</v>
      </c>
      <c r="D13" s="175">
        <f t="shared" si="10"/>
        <v>24</v>
      </c>
      <c r="E13" s="175">
        <v>1.3</v>
      </c>
      <c r="F13" s="175">
        <v>2.0</v>
      </c>
      <c r="G13" s="175" t="str">
        <f t="shared" si="2"/>
        <v>35%</v>
      </c>
      <c r="H13" s="175"/>
      <c r="I13" s="175"/>
      <c r="J13" s="175"/>
      <c r="K13" s="175">
        <f t="shared" si="4"/>
        <v>0</v>
      </c>
      <c r="L13" s="317">
        <f t="shared" si="5"/>
        <v>1</v>
      </c>
      <c r="M13" s="178">
        <f t="shared" si="6"/>
        <v>24</v>
      </c>
      <c r="N13" s="178">
        <f t="shared" si="7"/>
        <v>0</v>
      </c>
      <c r="O13" s="178">
        <f t="shared" si="8"/>
        <v>0</v>
      </c>
      <c r="P13" s="178">
        <f t="shared" si="9"/>
        <v>0</v>
      </c>
      <c r="Q13" s="23">
        <v>8.0</v>
      </c>
    </row>
    <row r="14" ht="22.5" customHeight="1">
      <c r="A14" s="175" t="s">
        <v>444</v>
      </c>
      <c r="B14" s="175">
        <v>2.0</v>
      </c>
      <c r="C14" s="175">
        <v>24.0</v>
      </c>
      <c r="D14" s="175">
        <f t="shared" si="10"/>
        <v>48</v>
      </c>
      <c r="E14" s="175">
        <v>1.75</v>
      </c>
      <c r="F14" s="175">
        <v>2.0</v>
      </c>
      <c r="G14" s="175" t="str">
        <f t="shared" si="2"/>
        <v>12.5%</v>
      </c>
      <c r="H14" s="175">
        <v>2.0</v>
      </c>
      <c r="I14" s="175">
        <f>C14*H14</f>
        <v>48</v>
      </c>
      <c r="J14" s="175">
        <v>0.0</v>
      </c>
      <c r="K14" s="175">
        <f t="shared" si="4"/>
        <v>0</v>
      </c>
      <c r="L14" s="318">
        <f t="shared" si="5"/>
        <v>0</v>
      </c>
      <c r="M14" s="178">
        <f t="shared" si="6"/>
        <v>0</v>
      </c>
      <c r="N14" s="178">
        <f t="shared" si="7"/>
        <v>84</v>
      </c>
      <c r="O14" s="178">
        <f t="shared" si="8"/>
        <v>96</v>
      </c>
      <c r="P14" s="178">
        <f t="shared" si="9"/>
        <v>12</v>
      </c>
      <c r="Q14" s="319">
        <v>8.0</v>
      </c>
    </row>
    <row r="15" ht="22.5" customHeight="1">
      <c r="A15" s="183" t="s">
        <v>324</v>
      </c>
      <c r="B15" s="184"/>
      <c r="C15" s="184"/>
      <c r="D15" s="184"/>
      <c r="E15" s="184"/>
      <c r="F15" s="184"/>
      <c r="G15" s="184" t="str">
        <f t="shared" si="2"/>
        <v>#DIV/0!</v>
      </c>
      <c r="H15" s="184"/>
      <c r="I15" s="184"/>
      <c r="J15" s="184"/>
      <c r="K15" s="184">
        <f t="shared" si="4"/>
        <v>0</v>
      </c>
      <c r="L15" s="320">
        <f t="shared" si="5"/>
        <v>0</v>
      </c>
      <c r="M15" s="184">
        <f t="shared" si="6"/>
        <v>0</v>
      </c>
      <c r="N15" s="184">
        <f t="shared" ref="N15:P15" si="11">sum(N2:N14)</f>
        <v>1206.68</v>
      </c>
      <c r="O15" s="184">
        <f t="shared" si="11"/>
        <v>1700</v>
      </c>
      <c r="P15" s="184">
        <f t="shared" si="11"/>
        <v>493.32</v>
      </c>
      <c r="Q15" s="282"/>
    </row>
    <row r="16" ht="22.5" customHeight="1">
      <c r="A16" s="170" t="s">
        <v>432</v>
      </c>
      <c r="B16" s="170">
        <v>6.0</v>
      </c>
      <c r="C16" s="170">
        <v>24.0</v>
      </c>
      <c r="D16" s="168">
        <f t="shared" ref="D16:D29" si="12">B16*C16</f>
        <v>144</v>
      </c>
      <c r="E16" s="170">
        <v>1.77</v>
      </c>
      <c r="F16" s="170">
        <v>2.0</v>
      </c>
      <c r="G16" s="170" t="str">
        <f t="shared" si="2"/>
        <v>11.5%</v>
      </c>
      <c r="H16" s="170">
        <v>6.0</v>
      </c>
      <c r="I16" s="168">
        <f t="shared" ref="I16:I29" si="13">C16*H16</f>
        <v>144</v>
      </c>
      <c r="J16" s="168"/>
      <c r="K16" s="168">
        <f t="shared" ref="K16:K29" si="14">J16*C16</f>
        <v>0</v>
      </c>
      <c r="L16" s="321">
        <f t="shared" si="5"/>
        <v>0</v>
      </c>
      <c r="M16" s="168">
        <f t="shared" si="6"/>
        <v>0</v>
      </c>
      <c r="N16" s="168">
        <f t="shared" ref="N16:N29" si="15">(D16 + K16 - M16) * E16</f>
        <v>254.88</v>
      </c>
      <c r="O16" s="168">
        <f t="shared" ref="O16:O29" si="16">I16*F16</f>
        <v>288</v>
      </c>
      <c r="P16" s="168">
        <f t="shared" ref="P16:P29" si="17">O16-N16</f>
        <v>33.12</v>
      </c>
      <c r="Q16" s="169">
        <v>9.0</v>
      </c>
    </row>
    <row r="17" ht="22.5" customHeight="1">
      <c r="A17" s="170" t="s">
        <v>432</v>
      </c>
      <c r="B17" s="170">
        <v>7.0</v>
      </c>
      <c r="C17" s="170">
        <v>24.0</v>
      </c>
      <c r="D17" s="168">
        <f t="shared" si="12"/>
        <v>168</v>
      </c>
      <c r="E17" s="170">
        <v>1.58</v>
      </c>
      <c r="F17" s="170">
        <v>2.0</v>
      </c>
      <c r="G17" s="170" t="str">
        <f t="shared" si="2"/>
        <v>21.%</v>
      </c>
      <c r="H17" s="170">
        <v>7.0</v>
      </c>
      <c r="I17" s="168">
        <f t="shared" si="13"/>
        <v>168</v>
      </c>
      <c r="J17" s="168"/>
      <c r="K17" s="168">
        <f t="shared" si="14"/>
        <v>0</v>
      </c>
      <c r="L17" s="321">
        <f t="shared" si="5"/>
        <v>0</v>
      </c>
      <c r="M17" s="168">
        <f t="shared" si="6"/>
        <v>0</v>
      </c>
      <c r="N17" s="168">
        <f t="shared" si="15"/>
        <v>265.44</v>
      </c>
      <c r="O17" s="168">
        <f t="shared" si="16"/>
        <v>336</v>
      </c>
      <c r="P17" s="168">
        <f t="shared" si="17"/>
        <v>70.56</v>
      </c>
      <c r="Q17" s="187"/>
    </row>
    <row r="18" ht="22.5" customHeight="1">
      <c r="A18" s="170" t="s">
        <v>445</v>
      </c>
      <c r="B18" s="170">
        <v>1.0</v>
      </c>
      <c r="C18" s="170">
        <v>24.0</v>
      </c>
      <c r="D18" s="168">
        <f t="shared" si="12"/>
        <v>24</v>
      </c>
      <c r="E18" s="170">
        <v>1.45</v>
      </c>
      <c r="F18" s="170">
        <v>2.0</v>
      </c>
      <c r="G18" s="170" t="str">
        <f t="shared" si="2"/>
        <v>27.5%</v>
      </c>
      <c r="H18" s="170">
        <v>1.0</v>
      </c>
      <c r="I18" s="168">
        <f t="shared" si="13"/>
        <v>24</v>
      </c>
      <c r="J18" s="168"/>
      <c r="K18" s="168">
        <f t="shared" si="14"/>
        <v>0</v>
      </c>
      <c r="L18" s="321">
        <f t="shared" si="5"/>
        <v>0</v>
      </c>
      <c r="M18" s="168">
        <f t="shared" si="6"/>
        <v>0</v>
      </c>
      <c r="N18" s="168">
        <f t="shared" si="15"/>
        <v>34.8</v>
      </c>
      <c r="O18" s="168">
        <f t="shared" si="16"/>
        <v>48</v>
      </c>
      <c r="P18" s="168">
        <f t="shared" si="17"/>
        <v>13.2</v>
      </c>
      <c r="Q18" s="187"/>
    </row>
    <row r="19" ht="22.5" customHeight="1">
      <c r="A19" s="166" t="s">
        <v>446</v>
      </c>
      <c r="B19" s="166">
        <v>2.0</v>
      </c>
      <c r="C19" s="166">
        <v>24.0</v>
      </c>
      <c r="D19" s="168">
        <f t="shared" si="12"/>
        <v>48</v>
      </c>
      <c r="E19" s="166">
        <v>1.29</v>
      </c>
      <c r="F19" s="166">
        <v>2.0</v>
      </c>
      <c r="G19" s="166" t="str">
        <f t="shared" si="2"/>
        <v>35.5%</v>
      </c>
      <c r="H19" s="166">
        <v>1.0</v>
      </c>
      <c r="I19" s="168">
        <f t="shared" si="13"/>
        <v>24</v>
      </c>
      <c r="J19" s="172"/>
      <c r="K19" s="168">
        <f t="shared" si="14"/>
        <v>0</v>
      </c>
      <c r="L19" s="322">
        <f t="shared" si="5"/>
        <v>1</v>
      </c>
      <c r="M19" s="172">
        <f t="shared" si="6"/>
        <v>24</v>
      </c>
      <c r="N19" s="168">
        <f t="shared" si="15"/>
        <v>30.96</v>
      </c>
      <c r="O19" s="168">
        <f t="shared" si="16"/>
        <v>48</v>
      </c>
      <c r="P19" s="168">
        <f t="shared" si="17"/>
        <v>17.04</v>
      </c>
      <c r="Q19" s="23">
        <v>9.0</v>
      </c>
    </row>
    <row r="20" ht="22.5" customHeight="1">
      <c r="A20" s="323" t="s">
        <v>447</v>
      </c>
      <c r="B20" s="175">
        <v>2.0</v>
      </c>
      <c r="C20" s="175">
        <v>50.0</v>
      </c>
      <c r="D20" s="250">
        <f t="shared" si="12"/>
        <v>100</v>
      </c>
      <c r="E20" s="175">
        <v>0.66</v>
      </c>
      <c r="F20" s="175">
        <v>1.0</v>
      </c>
      <c r="G20" s="175" t="str">
        <f t="shared" si="2"/>
        <v>34%</v>
      </c>
      <c r="H20" s="175">
        <v>1.0</v>
      </c>
      <c r="I20" s="168">
        <f t="shared" si="13"/>
        <v>50</v>
      </c>
      <c r="J20" s="175">
        <v>0.0</v>
      </c>
      <c r="K20" s="168">
        <f t="shared" si="14"/>
        <v>0</v>
      </c>
      <c r="L20" s="324">
        <f t="shared" si="5"/>
        <v>1</v>
      </c>
      <c r="M20" s="178">
        <f t="shared" si="6"/>
        <v>50</v>
      </c>
      <c r="N20" s="168">
        <f t="shared" si="15"/>
        <v>33</v>
      </c>
      <c r="O20" s="168">
        <f t="shared" si="16"/>
        <v>50</v>
      </c>
      <c r="P20" s="168">
        <f t="shared" si="17"/>
        <v>17</v>
      </c>
      <c r="Q20" s="319">
        <v>9.0</v>
      </c>
    </row>
    <row r="21" ht="22.5" customHeight="1">
      <c r="A21" s="166" t="s">
        <v>438</v>
      </c>
      <c r="B21" s="166">
        <v>3.0</v>
      </c>
      <c r="C21" s="166">
        <v>24.0</v>
      </c>
      <c r="D21" s="172">
        <f t="shared" si="12"/>
        <v>72</v>
      </c>
      <c r="E21" s="166">
        <v>1.37</v>
      </c>
      <c r="F21" s="166">
        <v>2.0</v>
      </c>
      <c r="G21" s="166" t="str">
        <f t="shared" si="2"/>
        <v>31.5%</v>
      </c>
      <c r="H21" s="166">
        <v>3.0</v>
      </c>
      <c r="I21" s="172">
        <f t="shared" si="13"/>
        <v>72</v>
      </c>
      <c r="J21" s="172"/>
      <c r="K21" s="172">
        <f t="shared" si="14"/>
        <v>0</v>
      </c>
      <c r="L21" s="322">
        <f t="shared" si="5"/>
        <v>0</v>
      </c>
      <c r="M21" s="172">
        <f t="shared" si="6"/>
        <v>0</v>
      </c>
      <c r="N21" s="172">
        <f t="shared" si="15"/>
        <v>98.64</v>
      </c>
      <c r="O21" s="172">
        <f t="shared" si="16"/>
        <v>144</v>
      </c>
      <c r="P21" s="172">
        <f t="shared" si="17"/>
        <v>45.36</v>
      </c>
      <c r="Q21" s="37"/>
    </row>
    <row r="22" ht="22.5" customHeight="1">
      <c r="A22" s="166" t="s">
        <v>441</v>
      </c>
      <c r="B22" s="166">
        <v>1.0</v>
      </c>
      <c r="C22" s="166">
        <v>24.0</v>
      </c>
      <c r="D22" s="172">
        <f t="shared" si="12"/>
        <v>24</v>
      </c>
      <c r="E22" s="166">
        <v>1.166</v>
      </c>
      <c r="F22" s="166">
        <v>2.0</v>
      </c>
      <c r="G22" s="166" t="str">
        <f t="shared" si="2"/>
        <v>41.7%</v>
      </c>
      <c r="H22" s="166">
        <v>1.0</v>
      </c>
      <c r="I22" s="172">
        <f t="shared" si="13"/>
        <v>24</v>
      </c>
      <c r="J22" s="172"/>
      <c r="K22" s="172">
        <f t="shared" si="14"/>
        <v>0</v>
      </c>
      <c r="L22" s="322">
        <f t="shared" si="5"/>
        <v>0</v>
      </c>
      <c r="M22" s="172">
        <f t="shared" si="6"/>
        <v>0</v>
      </c>
      <c r="N22" s="172">
        <f t="shared" si="15"/>
        <v>27.984</v>
      </c>
      <c r="O22" s="172">
        <f t="shared" si="16"/>
        <v>48</v>
      </c>
      <c r="P22" s="172">
        <f t="shared" si="17"/>
        <v>20.016</v>
      </c>
      <c r="Q22" s="37"/>
    </row>
    <row r="23" ht="22.5" customHeight="1">
      <c r="A23" s="166" t="s">
        <v>448</v>
      </c>
      <c r="B23" s="166">
        <v>2.0</v>
      </c>
      <c r="C23" s="166">
        <v>24.0</v>
      </c>
      <c r="D23" s="172">
        <f t="shared" si="12"/>
        <v>48</v>
      </c>
      <c r="E23" s="166">
        <v>0.41</v>
      </c>
      <c r="F23" s="166">
        <v>1.0</v>
      </c>
      <c r="G23" s="166" t="str">
        <f t="shared" si="2"/>
        <v>59.%</v>
      </c>
      <c r="H23" s="166">
        <v>2.0</v>
      </c>
      <c r="I23" s="172">
        <f t="shared" si="13"/>
        <v>48</v>
      </c>
      <c r="J23" s="172"/>
      <c r="K23" s="172">
        <f t="shared" si="14"/>
        <v>0</v>
      </c>
      <c r="L23" s="322">
        <f t="shared" si="5"/>
        <v>0</v>
      </c>
      <c r="M23" s="172">
        <f t="shared" si="6"/>
        <v>0</v>
      </c>
      <c r="N23" s="172">
        <f t="shared" si="15"/>
        <v>19.68</v>
      </c>
      <c r="O23" s="172">
        <f t="shared" si="16"/>
        <v>48</v>
      </c>
      <c r="P23" s="172">
        <f t="shared" si="17"/>
        <v>28.32</v>
      </c>
      <c r="Q23" s="37"/>
    </row>
    <row r="24" ht="22.5" customHeight="1">
      <c r="A24" s="166" t="s">
        <v>449</v>
      </c>
      <c r="B24" s="166">
        <v>4.0</v>
      </c>
      <c r="C24" s="166">
        <v>24.0</v>
      </c>
      <c r="D24" s="172">
        <f t="shared" si="12"/>
        <v>96</v>
      </c>
      <c r="E24" s="166">
        <v>0.41</v>
      </c>
      <c r="F24" s="166">
        <v>1.0</v>
      </c>
      <c r="G24" s="166" t="str">
        <f t="shared" si="2"/>
        <v>59.%</v>
      </c>
      <c r="H24" s="166">
        <v>3.0</v>
      </c>
      <c r="I24" s="172">
        <f t="shared" si="13"/>
        <v>72</v>
      </c>
      <c r="J24" s="166">
        <v>0.0</v>
      </c>
      <c r="K24" s="172">
        <f t="shared" si="14"/>
        <v>0</v>
      </c>
      <c r="L24" s="322">
        <f t="shared" si="5"/>
        <v>1</v>
      </c>
      <c r="M24" s="172">
        <f t="shared" si="6"/>
        <v>24</v>
      </c>
      <c r="N24" s="172">
        <f t="shared" si="15"/>
        <v>29.52</v>
      </c>
      <c r="O24" s="172">
        <f t="shared" si="16"/>
        <v>72</v>
      </c>
      <c r="P24" s="172">
        <f t="shared" si="17"/>
        <v>42.48</v>
      </c>
      <c r="Q24" s="37"/>
    </row>
    <row r="25" ht="22.5" customHeight="1">
      <c r="A25" s="166" t="s">
        <v>450</v>
      </c>
      <c r="B25" s="166">
        <v>5.0</v>
      </c>
      <c r="C25" s="166">
        <v>24.0</v>
      </c>
      <c r="D25" s="172">
        <f t="shared" si="12"/>
        <v>120</v>
      </c>
      <c r="E25" s="166">
        <v>0.45</v>
      </c>
      <c r="F25" s="166">
        <v>1.0</v>
      </c>
      <c r="G25" s="166" t="str">
        <f t="shared" si="2"/>
        <v>55.%</v>
      </c>
      <c r="H25" s="166">
        <v>2.0</v>
      </c>
      <c r="I25" s="172">
        <f t="shared" si="13"/>
        <v>48</v>
      </c>
      <c r="J25" s="172"/>
      <c r="K25" s="172">
        <f t="shared" si="14"/>
        <v>0</v>
      </c>
      <c r="L25" s="322">
        <f t="shared" si="5"/>
        <v>3</v>
      </c>
      <c r="M25" s="172">
        <f t="shared" si="6"/>
        <v>72</v>
      </c>
      <c r="N25" s="172">
        <f t="shared" si="15"/>
        <v>21.6</v>
      </c>
      <c r="O25" s="172">
        <f t="shared" si="16"/>
        <v>48</v>
      </c>
      <c r="P25" s="172">
        <f t="shared" si="17"/>
        <v>26.4</v>
      </c>
      <c r="Q25" s="37"/>
    </row>
    <row r="26" ht="22.5" customHeight="1">
      <c r="A26" s="166" t="s">
        <v>451</v>
      </c>
      <c r="B26" s="166">
        <v>2.0</v>
      </c>
      <c r="C26" s="166">
        <v>30.0</v>
      </c>
      <c r="D26" s="172">
        <f t="shared" si="12"/>
        <v>60</v>
      </c>
      <c r="E26" s="166">
        <v>0.333</v>
      </c>
      <c r="F26" s="166">
        <v>1.0</v>
      </c>
      <c r="G26" s="166" t="str">
        <f t="shared" si="2"/>
        <v>66.7%</v>
      </c>
      <c r="H26" s="166">
        <v>2.0</v>
      </c>
      <c r="I26" s="172">
        <f t="shared" si="13"/>
        <v>60</v>
      </c>
      <c r="J26" s="172"/>
      <c r="K26" s="172">
        <f t="shared" si="14"/>
        <v>0</v>
      </c>
      <c r="L26" s="322">
        <f t="shared" si="5"/>
        <v>0</v>
      </c>
      <c r="M26" s="172">
        <f t="shared" si="6"/>
        <v>0</v>
      </c>
      <c r="N26" s="172">
        <f t="shared" si="15"/>
        <v>19.98</v>
      </c>
      <c r="O26" s="172">
        <f t="shared" si="16"/>
        <v>60</v>
      </c>
      <c r="P26" s="172">
        <f t="shared" si="17"/>
        <v>40.02</v>
      </c>
      <c r="Q26" s="37"/>
    </row>
    <row r="27" ht="15.75" customHeight="1">
      <c r="A27" s="166"/>
      <c r="B27" s="166"/>
      <c r="C27" s="166"/>
      <c r="D27" s="172">
        <f t="shared" si="12"/>
        <v>0</v>
      </c>
      <c r="E27" s="166"/>
      <c r="F27" s="166"/>
      <c r="G27" s="172" t="str">
        <f t="shared" si="2"/>
        <v>#DIV/0!</v>
      </c>
      <c r="H27" s="172"/>
      <c r="I27" s="172">
        <f t="shared" si="13"/>
        <v>0</v>
      </c>
      <c r="J27" s="172"/>
      <c r="K27" s="172">
        <f t="shared" si="14"/>
        <v>0</v>
      </c>
      <c r="L27" s="322">
        <f t="shared" si="5"/>
        <v>0</v>
      </c>
      <c r="M27" s="172">
        <f t="shared" si="6"/>
        <v>0</v>
      </c>
      <c r="N27" s="172">
        <f t="shared" si="15"/>
        <v>0</v>
      </c>
      <c r="O27" s="172">
        <f t="shared" si="16"/>
        <v>0</v>
      </c>
      <c r="P27" s="172">
        <f t="shared" si="17"/>
        <v>0</v>
      </c>
      <c r="Q27" s="37"/>
    </row>
    <row r="28" ht="15.75" customHeight="1">
      <c r="A28" s="166" t="s">
        <v>452</v>
      </c>
      <c r="B28" s="166">
        <v>2.0</v>
      </c>
      <c r="C28" s="166">
        <v>24.0</v>
      </c>
      <c r="D28" s="172">
        <f t="shared" si="12"/>
        <v>48</v>
      </c>
      <c r="E28" s="166">
        <v>0.625</v>
      </c>
      <c r="F28" s="166">
        <v>1.0</v>
      </c>
      <c r="G28" s="172" t="str">
        <f t="shared" si="2"/>
        <v>37.5%</v>
      </c>
      <c r="H28" s="172"/>
      <c r="I28" s="172">
        <f t="shared" si="13"/>
        <v>0</v>
      </c>
      <c r="J28" s="172"/>
      <c r="K28" s="172">
        <f t="shared" si="14"/>
        <v>0</v>
      </c>
      <c r="L28" s="322">
        <f t="shared" si="5"/>
        <v>2</v>
      </c>
      <c r="M28" s="172">
        <f t="shared" si="6"/>
        <v>48</v>
      </c>
      <c r="N28" s="172">
        <f t="shared" si="15"/>
        <v>0</v>
      </c>
      <c r="O28" s="172">
        <f t="shared" si="16"/>
        <v>0</v>
      </c>
      <c r="P28" s="172">
        <f t="shared" si="17"/>
        <v>0</v>
      </c>
      <c r="Q28" s="37"/>
    </row>
    <row r="29" ht="15.75" customHeight="1">
      <c r="A29" s="175"/>
      <c r="B29" s="175">
        <v>1.0</v>
      </c>
      <c r="C29" s="175">
        <v>24.0</v>
      </c>
      <c r="D29" s="178">
        <f t="shared" si="12"/>
        <v>24</v>
      </c>
      <c r="E29" s="175">
        <v>0.7</v>
      </c>
      <c r="F29" s="175">
        <v>1.0</v>
      </c>
      <c r="G29" s="175" t="str">
        <f t="shared" si="2"/>
        <v>30.%</v>
      </c>
      <c r="H29" s="175">
        <v>1.0</v>
      </c>
      <c r="I29" s="178">
        <f t="shared" si="13"/>
        <v>24</v>
      </c>
      <c r="J29" s="178"/>
      <c r="K29" s="178">
        <f t="shared" si="14"/>
        <v>0</v>
      </c>
      <c r="L29" s="324">
        <f t="shared" si="5"/>
        <v>0</v>
      </c>
      <c r="M29" s="178">
        <f t="shared" si="6"/>
        <v>0</v>
      </c>
      <c r="N29" s="178">
        <f t="shared" si="15"/>
        <v>16.8</v>
      </c>
      <c r="O29" s="178">
        <f t="shared" si="16"/>
        <v>24</v>
      </c>
      <c r="P29" s="178">
        <f t="shared" si="17"/>
        <v>7.2</v>
      </c>
      <c r="Q29" s="325"/>
    </row>
    <row r="30" ht="15.75" customHeight="1">
      <c r="A30" s="183" t="s">
        <v>453</v>
      </c>
      <c r="B30" s="184"/>
      <c r="C30" s="184"/>
      <c r="D30" s="184"/>
      <c r="E30" s="184"/>
      <c r="F30" s="184"/>
      <c r="G30" s="184" t="str">
        <f t="shared" si="2"/>
        <v>#DIV/0!</v>
      </c>
      <c r="H30" s="184"/>
      <c r="I30" s="184"/>
      <c r="J30" s="184"/>
      <c r="K30" s="184">
        <f t="shared" ref="K30:K40" si="19">(J30*C30)</f>
        <v>0</v>
      </c>
      <c r="L30" s="320">
        <f t="shared" si="5"/>
        <v>0</v>
      </c>
      <c r="M30" s="184">
        <f t="shared" si="6"/>
        <v>0</v>
      </c>
      <c r="N30" s="184">
        <f t="shared" ref="N30:P30" si="18">sum( N16:N29)</f>
        <v>853.284</v>
      </c>
      <c r="O30" s="184">
        <f t="shared" si="18"/>
        <v>1214</v>
      </c>
      <c r="P30" s="184">
        <f t="shared" si="18"/>
        <v>360.716</v>
      </c>
      <c r="Q30" s="186">
        <v>9.0</v>
      </c>
    </row>
    <row r="31" ht="15.75" customHeight="1">
      <c r="A31" s="199" t="s">
        <v>432</v>
      </c>
      <c r="B31" s="199">
        <v>11.0</v>
      </c>
      <c r="C31" s="199">
        <v>24.0</v>
      </c>
      <c r="D31" s="200">
        <f t="shared" ref="D31:D122" si="20">B31*C31</f>
        <v>264</v>
      </c>
      <c r="E31" s="199">
        <v>1.54</v>
      </c>
      <c r="F31" s="199">
        <v>2.0</v>
      </c>
      <c r="G31" s="199" t="str">
        <f t="shared" si="2"/>
        <v>23%</v>
      </c>
      <c r="H31" s="199">
        <v>11.0</v>
      </c>
      <c r="I31" s="200">
        <f t="shared" ref="I31:I115" si="21">C31*H31</f>
        <v>264</v>
      </c>
      <c r="J31" s="199">
        <v>0.0</v>
      </c>
      <c r="K31" s="200">
        <f t="shared" si="19"/>
        <v>0</v>
      </c>
      <c r="L31" s="326">
        <f t="shared" si="5"/>
        <v>0</v>
      </c>
      <c r="M31" s="200">
        <f t="shared" si="6"/>
        <v>0</v>
      </c>
      <c r="N31" s="200">
        <f t="shared" ref="N31:N38" si="22">(D31 + K31 - M31) * E31</f>
        <v>406.56</v>
      </c>
      <c r="O31" s="200">
        <f t="shared" ref="O31:O38" si="23">I31*F31</f>
        <v>528</v>
      </c>
      <c r="P31" s="200">
        <f t="shared" ref="P31:P38" si="24">O31-N31</f>
        <v>121.44</v>
      </c>
      <c r="Q31" s="327"/>
    </row>
    <row r="32" ht="15.75" customHeight="1">
      <c r="A32" s="203" t="s">
        <v>454</v>
      </c>
      <c r="B32" s="203">
        <v>2.0</v>
      </c>
      <c r="C32" s="203">
        <v>24.0</v>
      </c>
      <c r="D32" s="200">
        <f t="shared" si="20"/>
        <v>48</v>
      </c>
      <c r="E32" s="203">
        <v>1.2</v>
      </c>
      <c r="F32" s="203">
        <v>2.0</v>
      </c>
      <c r="G32" s="203" t="str">
        <f t="shared" si="2"/>
        <v>40%</v>
      </c>
      <c r="H32" s="203">
        <v>2.0</v>
      </c>
      <c r="I32" s="200">
        <f t="shared" si="21"/>
        <v>48</v>
      </c>
      <c r="J32" s="277"/>
      <c r="K32" s="277">
        <f t="shared" si="19"/>
        <v>0</v>
      </c>
      <c r="L32" s="328">
        <f t="shared" si="5"/>
        <v>0</v>
      </c>
      <c r="M32" s="277">
        <f t="shared" si="6"/>
        <v>0</v>
      </c>
      <c r="N32" s="200">
        <f t="shared" si="22"/>
        <v>57.6</v>
      </c>
      <c r="O32" s="200">
        <f t="shared" si="23"/>
        <v>96</v>
      </c>
      <c r="P32" s="200">
        <f t="shared" si="24"/>
        <v>38.4</v>
      </c>
      <c r="Q32" s="329"/>
    </row>
    <row r="33" ht="15.75" customHeight="1">
      <c r="A33" s="203" t="s">
        <v>455</v>
      </c>
      <c r="B33" s="203">
        <v>3.0</v>
      </c>
      <c r="C33" s="203">
        <v>24.0</v>
      </c>
      <c r="D33" s="200">
        <f t="shared" si="20"/>
        <v>72</v>
      </c>
      <c r="E33" s="203">
        <v>1.37</v>
      </c>
      <c r="F33" s="203">
        <v>2.0</v>
      </c>
      <c r="G33" s="203" t="str">
        <f t="shared" si="2"/>
        <v>31.5%</v>
      </c>
      <c r="H33" s="203">
        <v>3.0</v>
      </c>
      <c r="I33" s="200">
        <f t="shared" si="21"/>
        <v>72</v>
      </c>
      <c r="J33" s="203">
        <v>0.0</v>
      </c>
      <c r="K33" s="277">
        <f t="shared" si="19"/>
        <v>0</v>
      </c>
      <c r="L33" s="328">
        <f t="shared" si="5"/>
        <v>0</v>
      </c>
      <c r="M33" s="277">
        <f t="shared" si="6"/>
        <v>0</v>
      </c>
      <c r="N33" s="200">
        <f t="shared" si="22"/>
        <v>98.64</v>
      </c>
      <c r="O33" s="200">
        <f t="shared" si="23"/>
        <v>144</v>
      </c>
      <c r="P33" s="200">
        <f t="shared" si="24"/>
        <v>45.36</v>
      </c>
      <c r="Q33" s="329"/>
    </row>
    <row r="34" ht="15.75" customHeight="1">
      <c r="A34" s="146" t="s">
        <v>456</v>
      </c>
      <c r="B34" s="146">
        <v>1.0</v>
      </c>
      <c r="C34" s="146">
        <v>24.0</v>
      </c>
      <c r="D34" s="200">
        <f t="shared" si="20"/>
        <v>24</v>
      </c>
      <c r="E34" s="146">
        <v>0.83</v>
      </c>
      <c r="F34" s="146">
        <v>1.0</v>
      </c>
      <c r="G34" s="146" t="str">
        <f t="shared" si="2"/>
        <v>17.%</v>
      </c>
      <c r="H34" s="146">
        <v>1.0</v>
      </c>
      <c r="I34" s="200">
        <f t="shared" si="21"/>
        <v>24</v>
      </c>
      <c r="J34" s="94"/>
      <c r="K34" s="94">
        <f t="shared" si="19"/>
        <v>0</v>
      </c>
      <c r="L34" s="330">
        <f t="shared" si="5"/>
        <v>0</v>
      </c>
      <c r="M34" s="94">
        <f t="shared" si="6"/>
        <v>0</v>
      </c>
      <c r="N34" s="200">
        <f t="shared" si="22"/>
        <v>19.92</v>
      </c>
      <c r="O34" s="200">
        <f t="shared" si="23"/>
        <v>24</v>
      </c>
      <c r="P34" s="200">
        <f t="shared" si="24"/>
        <v>4.08</v>
      </c>
      <c r="Q34" s="93"/>
    </row>
    <row r="35" ht="15.75" customHeight="1">
      <c r="A35" s="146" t="s">
        <v>457</v>
      </c>
      <c r="B35" s="146">
        <v>1.0</v>
      </c>
      <c r="C35" s="146">
        <v>50.0</v>
      </c>
      <c r="D35" s="200">
        <f t="shared" si="20"/>
        <v>50</v>
      </c>
      <c r="E35" s="146">
        <v>0.66</v>
      </c>
      <c r="F35" s="146">
        <v>1.0</v>
      </c>
      <c r="G35" s="94" t="str">
        <f t="shared" si="2"/>
        <v>34%</v>
      </c>
      <c r="H35" s="94"/>
      <c r="I35" s="200">
        <f t="shared" si="21"/>
        <v>0</v>
      </c>
      <c r="J35" s="94"/>
      <c r="K35" s="94">
        <f t="shared" si="19"/>
        <v>0</v>
      </c>
      <c r="L35" s="330">
        <f t="shared" si="5"/>
        <v>1</v>
      </c>
      <c r="M35" s="94">
        <f t="shared" si="6"/>
        <v>50</v>
      </c>
      <c r="N35" s="200">
        <f t="shared" si="22"/>
        <v>0</v>
      </c>
      <c r="O35" s="200">
        <f t="shared" si="23"/>
        <v>0</v>
      </c>
      <c r="P35" s="200">
        <f t="shared" si="24"/>
        <v>0</v>
      </c>
      <c r="Q35" s="93"/>
    </row>
    <row r="36" ht="15.75" customHeight="1">
      <c r="A36" s="146" t="s">
        <v>458</v>
      </c>
      <c r="B36" s="146">
        <v>6.0</v>
      </c>
      <c r="C36" s="146">
        <v>24.0</v>
      </c>
      <c r="D36" s="200">
        <f t="shared" si="20"/>
        <v>144</v>
      </c>
      <c r="E36" s="146">
        <v>0.67</v>
      </c>
      <c r="F36" s="146">
        <v>1.0</v>
      </c>
      <c r="G36" s="146" t="str">
        <f t="shared" si="2"/>
        <v>33.%</v>
      </c>
      <c r="H36" s="146">
        <v>6.0</v>
      </c>
      <c r="I36" s="200">
        <f t="shared" si="21"/>
        <v>144</v>
      </c>
      <c r="J36" s="146">
        <v>0.0</v>
      </c>
      <c r="K36" s="94">
        <f t="shared" si="19"/>
        <v>0</v>
      </c>
      <c r="L36" s="330">
        <f t="shared" si="5"/>
        <v>0</v>
      </c>
      <c r="M36" s="94">
        <f t="shared" si="6"/>
        <v>0</v>
      </c>
      <c r="N36" s="200">
        <f t="shared" si="22"/>
        <v>96.48</v>
      </c>
      <c r="O36" s="200">
        <f t="shared" si="23"/>
        <v>144</v>
      </c>
      <c r="P36" s="200">
        <f t="shared" si="24"/>
        <v>47.52</v>
      </c>
      <c r="Q36" s="93"/>
    </row>
    <row r="37" ht="15.75" customHeight="1">
      <c r="A37" s="146" t="s">
        <v>459</v>
      </c>
      <c r="B37" s="146">
        <v>1.0</v>
      </c>
      <c r="C37" s="146">
        <v>24.0</v>
      </c>
      <c r="D37" s="200">
        <f t="shared" si="20"/>
        <v>24</v>
      </c>
      <c r="E37" s="146">
        <v>0.45</v>
      </c>
      <c r="F37" s="146">
        <v>1.0</v>
      </c>
      <c r="G37" s="146" t="str">
        <f t="shared" si="2"/>
        <v>55.%</v>
      </c>
      <c r="H37" s="146">
        <v>1.0</v>
      </c>
      <c r="I37" s="200">
        <f t="shared" si="21"/>
        <v>24</v>
      </c>
      <c r="J37" s="94"/>
      <c r="K37" s="94">
        <f t="shared" si="19"/>
        <v>0</v>
      </c>
      <c r="L37" s="330">
        <f t="shared" si="5"/>
        <v>0</v>
      </c>
      <c r="M37" s="94">
        <f t="shared" si="6"/>
        <v>0</v>
      </c>
      <c r="N37" s="200">
        <f t="shared" si="22"/>
        <v>10.8</v>
      </c>
      <c r="O37" s="200">
        <f t="shared" si="23"/>
        <v>24</v>
      </c>
      <c r="P37" s="200">
        <f t="shared" si="24"/>
        <v>13.2</v>
      </c>
      <c r="Q37" s="93"/>
    </row>
    <row r="38" ht="15.75" customHeight="1">
      <c r="A38" s="146" t="s">
        <v>460</v>
      </c>
      <c r="B38" s="146">
        <v>1.0</v>
      </c>
      <c r="C38" s="146">
        <v>24.0</v>
      </c>
      <c r="D38" s="331">
        <f t="shared" si="20"/>
        <v>24</v>
      </c>
      <c r="E38" s="146">
        <v>2.5</v>
      </c>
      <c r="F38" s="146">
        <v>3.0</v>
      </c>
      <c r="G38" s="146" t="str">
        <f t="shared" si="2"/>
        <v>16.6666666666667%</v>
      </c>
      <c r="H38" s="146">
        <v>1.0</v>
      </c>
      <c r="I38" s="331">
        <f t="shared" si="21"/>
        <v>24</v>
      </c>
      <c r="J38" s="94"/>
      <c r="K38" s="94">
        <f t="shared" si="19"/>
        <v>0</v>
      </c>
      <c r="L38" s="330">
        <f t="shared" si="5"/>
        <v>0</v>
      </c>
      <c r="M38" s="94">
        <f t="shared" si="6"/>
        <v>0</v>
      </c>
      <c r="N38" s="331">
        <f t="shared" si="22"/>
        <v>60</v>
      </c>
      <c r="O38" s="331">
        <f t="shared" si="23"/>
        <v>72</v>
      </c>
      <c r="P38" s="331">
        <f t="shared" si="24"/>
        <v>12</v>
      </c>
      <c r="Q38" s="93"/>
    </row>
    <row r="39" ht="15.75" customHeight="1">
      <c r="A39" s="183" t="s">
        <v>461</v>
      </c>
      <c r="B39" s="184"/>
      <c r="C39" s="184"/>
      <c r="D39" s="184">
        <f t="shared" si="20"/>
        <v>0</v>
      </c>
      <c r="E39" s="184"/>
      <c r="F39" s="184"/>
      <c r="G39" s="184" t="str">
        <f t="shared" si="2"/>
        <v>#DIV/0!</v>
      </c>
      <c r="H39" s="184"/>
      <c r="I39" s="331">
        <f t="shared" si="21"/>
        <v>0</v>
      </c>
      <c r="J39" s="184"/>
      <c r="K39" s="184">
        <f t="shared" si="19"/>
        <v>0</v>
      </c>
      <c r="L39" s="320">
        <f t="shared" si="5"/>
        <v>0</v>
      </c>
      <c r="M39" s="184">
        <f t="shared" si="6"/>
        <v>0</v>
      </c>
      <c r="N39" s="184">
        <f t="shared" ref="N39:P39" si="25">sum(N31:N38)</f>
        <v>750</v>
      </c>
      <c r="O39" s="184">
        <f t="shared" si="25"/>
        <v>1032</v>
      </c>
      <c r="P39" s="184">
        <f t="shared" si="25"/>
        <v>282</v>
      </c>
      <c r="Q39" s="282"/>
    </row>
    <row r="40" ht="15.75" customHeight="1">
      <c r="A40" s="146"/>
      <c r="B40" s="146"/>
      <c r="C40" s="146"/>
      <c r="D40" s="94">
        <f t="shared" si="20"/>
        <v>0</v>
      </c>
      <c r="E40" s="146"/>
      <c r="F40" s="146"/>
      <c r="G40" s="94" t="str">
        <f t="shared" si="2"/>
        <v>#DIV/0!</v>
      </c>
      <c r="H40" s="94"/>
      <c r="I40" s="331">
        <f t="shared" si="21"/>
        <v>0</v>
      </c>
      <c r="J40" s="94"/>
      <c r="K40" s="94">
        <f t="shared" si="19"/>
        <v>0</v>
      </c>
      <c r="L40" s="330">
        <f t="shared" si="5"/>
        <v>0</v>
      </c>
      <c r="M40" s="94">
        <f t="shared" si="6"/>
        <v>0</v>
      </c>
      <c r="N40" s="94">
        <f>(D40 + K40 - M40) * E40</f>
        <v>0</v>
      </c>
      <c r="O40" s="94">
        <f>I40*F40</f>
        <v>0</v>
      </c>
      <c r="P40" s="94">
        <f>O40-N40</f>
        <v>0</v>
      </c>
      <c r="Q40" s="93"/>
    </row>
    <row r="41" ht="15.75" customHeight="1">
      <c r="A41" s="208" t="s">
        <v>339</v>
      </c>
      <c r="B41" s="208"/>
      <c r="C41" s="208"/>
      <c r="D41" s="208">
        <f t="shared" si="20"/>
        <v>0</v>
      </c>
      <c r="E41" s="208"/>
      <c r="F41" s="208"/>
      <c r="G41" s="208"/>
      <c r="H41" s="208"/>
      <c r="I41" s="208">
        <f t="shared" si="21"/>
        <v>0</v>
      </c>
      <c r="J41" s="208"/>
      <c r="K41" s="166">
        <f>(C41*J41)</f>
        <v>0</v>
      </c>
      <c r="L41" s="209">
        <f>(B41+$J$14)-H41</f>
        <v>0</v>
      </c>
      <c r="M41" s="210">
        <f>(D41+K41)-I41</f>
        <v>0</v>
      </c>
      <c r="N41" s="184">
        <f t="shared" ref="N41:P41" si="26">SUM(N15+N30+N39)
</f>
        <v>2809.964</v>
      </c>
      <c r="O41" s="184">
        <f t="shared" si="26"/>
        <v>3946</v>
      </c>
      <c r="P41" s="184">
        <f t="shared" si="26"/>
        <v>1136.036</v>
      </c>
      <c r="Q41" s="211"/>
    </row>
    <row r="42" ht="15.75" customHeight="1">
      <c r="A42" s="146"/>
      <c r="B42" s="146"/>
      <c r="C42" s="146"/>
      <c r="D42" s="146">
        <f t="shared" si="20"/>
        <v>0</v>
      </c>
      <c r="E42" s="146"/>
      <c r="F42" s="146"/>
      <c r="G42" s="146"/>
      <c r="H42" s="146"/>
      <c r="I42" s="146">
        <f t="shared" si="21"/>
        <v>0</v>
      </c>
      <c r="J42" s="146"/>
      <c r="K42" s="146"/>
      <c r="L42" s="240"/>
      <c r="M42" s="94"/>
      <c r="N42" s="94"/>
      <c r="O42" s="94"/>
      <c r="P42" s="94"/>
      <c r="Q42" s="91"/>
    </row>
    <row r="43" ht="15.75" customHeight="1">
      <c r="A43" s="146" t="s">
        <v>462</v>
      </c>
      <c r="B43" s="146">
        <v>2.0</v>
      </c>
      <c r="C43" s="146">
        <v>24.0</v>
      </c>
      <c r="D43" s="331">
        <f t="shared" si="20"/>
        <v>48</v>
      </c>
      <c r="E43" s="146">
        <v>2.5</v>
      </c>
      <c r="F43" s="146">
        <v>3.0</v>
      </c>
      <c r="G43" s="146" t="str">
        <f t="shared" ref="G43:G103" si="27">((F43-E43)/F43)*100 &amp; "%"</f>
        <v>16.6666666666667%</v>
      </c>
      <c r="H43" s="146">
        <v>1.0</v>
      </c>
      <c r="I43" s="331">
        <f t="shared" si="21"/>
        <v>24</v>
      </c>
      <c r="J43" s="146">
        <v>0.0</v>
      </c>
      <c r="K43" s="94">
        <f t="shared" ref="K43:K103" si="28">(J43*C43)</f>
        <v>0</v>
      </c>
      <c r="L43" s="330">
        <f t="shared" ref="L43:L103" si="29">(B43+J43-H43)</f>
        <v>1</v>
      </c>
      <c r="M43" s="94">
        <f t="shared" ref="M43:M103" si="30">(D43+K43-I43)</f>
        <v>24</v>
      </c>
      <c r="N43" s="94">
        <f t="shared" ref="N43:N52" si="31">(D43 + K43 - M43) * E43</f>
        <v>60</v>
      </c>
      <c r="O43" s="94">
        <f t="shared" ref="O43:O52" si="32">I43*F43</f>
        <v>72</v>
      </c>
      <c r="P43" s="94">
        <f t="shared" ref="P43:P52" si="33">O43-N43</f>
        <v>12</v>
      </c>
      <c r="Q43" s="93"/>
    </row>
    <row r="44" ht="15.75" customHeight="1">
      <c r="A44" s="146" t="s">
        <v>463</v>
      </c>
      <c r="B44" s="146">
        <v>2.0</v>
      </c>
      <c r="C44" s="146">
        <v>24.0</v>
      </c>
      <c r="D44" s="331">
        <f t="shared" si="20"/>
        <v>48</v>
      </c>
      <c r="E44" s="146">
        <v>0.42</v>
      </c>
      <c r="F44" s="146">
        <v>1.0</v>
      </c>
      <c r="G44" s="146" t="str">
        <f t="shared" si="27"/>
        <v>58.%</v>
      </c>
      <c r="H44" s="146"/>
      <c r="I44" s="331">
        <f t="shared" si="21"/>
        <v>0</v>
      </c>
      <c r="J44" s="146"/>
      <c r="K44" s="94">
        <f t="shared" si="28"/>
        <v>0</v>
      </c>
      <c r="L44" s="330">
        <f t="shared" si="29"/>
        <v>2</v>
      </c>
      <c r="M44" s="94">
        <f t="shared" si="30"/>
        <v>48</v>
      </c>
      <c r="N44" s="94">
        <f t="shared" si="31"/>
        <v>0</v>
      </c>
      <c r="O44" s="94">
        <f t="shared" si="32"/>
        <v>0</v>
      </c>
      <c r="P44" s="94">
        <f t="shared" si="33"/>
        <v>0</v>
      </c>
      <c r="Q44" s="93"/>
    </row>
    <row r="45" ht="15.75" customHeight="1">
      <c r="A45" s="146" t="s">
        <v>464</v>
      </c>
      <c r="B45" s="146">
        <v>12.0</v>
      </c>
      <c r="C45" s="146">
        <v>24.0</v>
      </c>
      <c r="D45" s="331">
        <f t="shared" si="20"/>
        <v>288</v>
      </c>
      <c r="E45" s="146">
        <v>0.45</v>
      </c>
      <c r="F45" s="146">
        <v>1.0</v>
      </c>
      <c r="G45" s="146" t="str">
        <f t="shared" si="27"/>
        <v>55.%</v>
      </c>
      <c r="H45" s="146">
        <v>10.0</v>
      </c>
      <c r="I45" s="331">
        <f t="shared" si="21"/>
        <v>240</v>
      </c>
      <c r="J45" s="146">
        <v>0.0</v>
      </c>
      <c r="K45" s="94">
        <f t="shared" si="28"/>
        <v>0</v>
      </c>
      <c r="L45" s="330">
        <f t="shared" si="29"/>
        <v>2</v>
      </c>
      <c r="M45" s="94">
        <f t="shared" si="30"/>
        <v>48</v>
      </c>
      <c r="N45" s="94">
        <f t="shared" si="31"/>
        <v>108</v>
      </c>
      <c r="O45" s="94">
        <f t="shared" si="32"/>
        <v>240</v>
      </c>
      <c r="P45" s="94">
        <f t="shared" si="33"/>
        <v>132</v>
      </c>
      <c r="Q45" s="93"/>
    </row>
    <row r="46" ht="15.75" customHeight="1">
      <c r="A46" s="146" t="s">
        <v>465</v>
      </c>
      <c r="B46" s="146">
        <v>3.0</v>
      </c>
      <c r="C46" s="146">
        <v>12.0</v>
      </c>
      <c r="D46" s="331">
        <f t="shared" si="20"/>
        <v>36</v>
      </c>
      <c r="E46" s="146">
        <v>1.8</v>
      </c>
      <c r="F46" s="146">
        <v>3.0</v>
      </c>
      <c r="G46" s="146" t="str">
        <f t="shared" si="27"/>
        <v>40%</v>
      </c>
      <c r="H46" s="146">
        <v>2.0</v>
      </c>
      <c r="I46" s="331">
        <f t="shared" si="21"/>
        <v>24</v>
      </c>
      <c r="J46" s="146">
        <v>0.0</v>
      </c>
      <c r="K46" s="94">
        <f t="shared" si="28"/>
        <v>0</v>
      </c>
      <c r="L46" s="330">
        <f t="shared" si="29"/>
        <v>1</v>
      </c>
      <c r="M46" s="94">
        <f t="shared" si="30"/>
        <v>12</v>
      </c>
      <c r="N46" s="94">
        <f t="shared" si="31"/>
        <v>43.2</v>
      </c>
      <c r="O46" s="94">
        <f t="shared" si="32"/>
        <v>72</v>
      </c>
      <c r="P46" s="94">
        <f t="shared" si="33"/>
        <v>28.8</v>
      </c>
      <c r="Q46" s="93"/>
    </row>
    <row r="47" ht="15.75" customHeight="1">
      <c r="A47" s="146" t="s">
        <v>466</v>
      </c>
      <c r="B47" s="146">
        <v>1.0</v>
      </c>
      <c r="C47" s="146">
        <v>24.0</v>
      </c>
      <c r="D47" s="331">
        <f t="shared" si="20"/>
        <v>24</v>
      </c>
      <c r="E47" s="146">
        <v>2.7</v>
      </c>
      <c r="F47" s="146">
        <v>3.0</v>
      </c>
      <c r="G47" s="94" t="str">
        <f t="shared" si="27"/>
        <v>9.99999999999999%</v>
      </c>
      <c r="H47" s="94"/>
      <c r="I47" s="331">
        <f t="shared" si="21"/>
        <v>0</v>
      </c>
      <c r="J47" s="94"/>
      <c r="K47" s="94">
        <f t="shared" si="28"/>
        <v>0</v>
      </c>
      <c r="L47" s="330">
        <f t="shared" si="29"/>
        <v>1</v>
      </c>
      <c r="M47" s="94">
        <f t="shared" si="30"/>
        <v>24</v>
      </c>
      <c r="N47" s="94">
        <f t="shared" si="31"/>
        <v>0</v>
      </c>
      <c r="O47" s="94">
        <f t="shared" si="32"/>
        <v>0</v>
      </c>
      <c r="P47" s="94">
        <f t="shared" si="33"/>
        <v>0</v>
      </c>
      <c r="Q47" s="93"/>
    </row>
    <row r="48" ht="15.75" customHeight="1">
      <c r="A48" s="146" t="s">
        <v>467</v>
      </c>
      <c r="B48" s="146">
        <v>2.0</v>
      </c>
      <c r="C48" s="146">
        <v>25.0</v>
      </c>
      <c r="D48" s="331">
        <f t="shared" si="20"/>
        <v>50</v>
      </c>
      <c r="E48" s="146">
        <v>3.0</v>
      </c>
      <c r="F48" s="146">
        <v>5.0</v>
      </c>
      <c r="G48" s="146" t="str">
        <f t="shared" si="27"/>
        <v>40%</v>
      </c>
      <c r="H48" s="146">
        <v>1.0</v>
      </c>
      <c r="I48" s="331">
        <f t="shared" si="21"/>
        <v>25</v>
      </c>
      <c r="J48" s="94"/>
      <c r="K48" s="94">
        <f t="shared" si="28"/>
        <v>0</v>
      </c>
      <c r="L48" s="330">
        <f t="shared" si="29"/>
        <v>1</v>
      </c>
      <c r="M48" s="94">
        <f t="shared" si="30"/>
        <v>25</v>
      </c>
      <c r="N48" s="94">
        <f t="shared" si="31"/>
        <v>75</v>
      </c>
      <c r="O48" s="94">
        <f t="shared" si="32"/>
        <v>125</v>
      </c>
      <c r="P48" s="94">
        <f t="shared" si="33"/>
        <v>50</v>
      </c>
      <c r="Q48" s="93"/>
    </row>
    <row r="49" ht="15.75" customHeight="1">
      <c r="A49" s="146" t="s">
        <v>468</v>
      </c>
      <c r="B49" s="146">
        <v>1.0</v>
      </c>
      <c r="C49" s="146">
        <v>30.0</v>
      </c>
      <c r="D49" s="331">
        <f t="shared" si="20"/>
        <v>30</v>
      </c>
      <c r="E49" s="146">
        <v>1.9</v>
      </c>
      <c r="F49" s="146">
        <v>3.0</v>
      </c>
      <c r="G49" s="94" t="str">
        <f t="shared" si="27"/>
        <v>36.6666666666667%</v>
      </c>
      <c r="H49" s="94"/>
      <c r="I49" s="331">
        <f t="shared" si="21"/>
        <v>0</v>
      </c>
      <c r="J49" s="94"/>
      <c r="K49" s="94">
        <f t="shared" si="28"/>
        <v>0</v>
      </c>
      <c r="L49" s="330">
        <f t="shared" si="29"/>
        <v>1</v>
      </c>
      <c r="M49" s="94">
        <f t="shared" si="30"/>
        <v>30</v>
      </c>
      <c r="N49" s="94">
        <f t="shared" si="31"/>
        <v>0</v>
      </c>
      <c r="O49" s="94">
        <f t="shared" si="32"/>
        <v>0</v>
      </c>
      <c r="P49" s="94">
        <f t="shared" si="33"/>
        <v>0</v>
      </c>
      <c r="Q49" s="93"/>
    </row>
    <row r="50" ht="15.75" customHeight="1">
      <c r="A50" s="146" t="s">
        <v>469</v>
      </c>
      <c r="B50" s="146">
        <v>3.0</v>
      </c>
      <c r="C50" s="146">
        <v>24.0</v>
      </c>
      <c r="D50" s="331">
        <f t="shared" si="20"/>
        <v>72</v>
      </c>
      <c r="E50" s="146">
        <v>1.25</v>
      </c>
      <c r="F50" s="146">
        <v>2.0</v>
      </c>
      <c r="G50" s="146" t="str">
        <f t="shared" si="27"/>
        <v>37.5%</v>
      </c>
      <c r="H50" s="146">
        <v>2.0</v>
      </c>
      <c r="I50" s="331">
        <f t="shared" si="21"/>
        <v>48</v>
      </c>
      <c r="J50" s="146">
        <v>0.0</v>
      </c>
      <c r="K50" s="94">
        <f t="shared" si="28"/>
        <v>0</v>
      </c>
      <c r="L50" s="330">
        <f t="shared" si="29"/>
        <v>1</v>
      </c>
      <c r="M50" s="94">
        <f t="shared" si="30"/>
        <v>24</v>
      </c>
      <c r="N50" s="94">
        <f t="shared" si="31"/>
        <v>60</v>
      </c>
      <c r="O50" s="94">
        <f t="shared" si="32"/>
        <v>96</v>
      </c>
      <c r="P50" s="94">
        <f t="shared" si="33"/>
        <v>36</v>
      </c>
      <c r="Q50" s="93"/>
    </row>
    <row r="51" ht="15.75" customHeight="1">
      <c r="A51" s="146" t="s">
        <v>432</v>
      </c>
      <c r="B51" s="146">
        <v>11.0</v>
      </c>
      <c r="C51" s="146">
        <v>24.0</v>
      </c>
      <c r="D51" s="331">
        <f t="shared" si="20"/>
        <v>264</v>
      </c>
      <c r="E51" s="146">
        <v>1.54</v>
      </c>
      <c r="F51" s="146">
        <v>2.0</v>
      </c>
      <c r="G51" s="146" t="str">
        <f t="shared" si="27"/>
        <v>23%</v>
      </c>
      <c r="H51" s="146">
        <v>9.0</v>
      </c>
      <c r="I51" s="331">
        <f t="shared" si="21"/>
        <v>216</v>
      </c>
      <c r="J51" s="146">
        <v>0.0</v>
      </c>
      <c r="K51" s="94">
        <f t="shared" si="28"/>
        <v>0</v>
      </c>
      <c r="L51" s="330">
        <f t="shared" si="29"/>
        <v>2</v>
      </c>
      <c r="M51" s="94">
        <f t="shared" si="30"/>
        <v>48</v>
      </c>
      <c r="N51" s="94">
        <f t="shared" si="31"/>
        <v>332.64</v>
      </c>
      <c r="O51" s="94">
        <f t="shared" si="32"/>
        <v>432</v>
      </c>
      <c r="P51" s="94">
        <f t="shared" si="33"/>
        <v>99.36</v>
      </c>
      <c r="Q51" s="93"/>
    </row>
    <row r="52" ht="15.75" customHeight="1">
      <c r="A52" s="146" t="s">
        <v>455</v>
      </c>
      <c r="B52" s="146">
        <v>3.0</v>
      </c>
      <c r="C52" s="146">
        <v>24.0</v>
      </c>
      <c r="D52" s="331">
        <f t="shared" si="20"/>
        <v>72</v>
      </c>
      <c r="E52" s="146">
        <v>1.33</v>
      </c>
      <c r="F52" s="146">
        <v>2.0</v>
      </c>
      <c r="G52" s="146" t="str">
        <f t="shared" si="27"/>
        <v>33.5%</v>
      </c>
      <c r="H52" s="146">
        <v>2.0</v>
      </c>
      <c r="I52" s="331">
        <f t="shared" si="21"/>
        <v>48</v>
      </c>
      <c r="J52" s="146">
        <v>0.0</v>
      </c>
      <c r="K52" s="94">
        <f t="shared" si="28"/>
        <v>0</v>
      </c>
      <c r="L52" s="330">
        <f t="shared" si="29"/>
        <v>1</v>
      </c>
      <c r="M52" s="94">
        <f t="shared" si="30"/>
        <v>24</v>
      </c>
      <c r="N52" s="94">
        <f t="shared" si="31"/>
        <v>63.84</v>
      </c>
      <c r="O52" s="94">
        <f t="shared" si="32"/>
        <v>96</v>
      </c>
      <c r="P52" s="94">
        <f t="shared" si="33"/>
        <v>32.16</v>
      </c>
      <c r="Q52" s="93"/>
    </row>
    <row r="53" ht="15.75" customHeight="1">
      <c r="A53" s="183" t="s">
        <v>470</v>
      </c>
      <c r="B53" s="184"/>
      <c r="C53" s="184"/>
      <c r="D53" s="331">
        <f t="shared" si="20"/>
        <v>0</v>
      </c>
      <c r="E53" s="184"/>
      <c r="F53" s="184"/>
      <c r="G53" s="184" t="str">
        <f t="shared" si="27"/>
        <v>#DIV/0!</v>
      </c>
      <c r="H53" s="184"/>
      <c r="I53" s="331">
        <f t="shared" si="21"/>
        <v>0</v>
      </c>
      <c r="J53" s="184"/>
      <c r="K53" s="184">
        <f t="shared" si="28"/>
        <v>0</v>
      </c>
      <c r="L53" s="320">
        <f t="shared" si="29"/>
        <v>0</v>
      </c>
      <c r="M53" s="184">
        <f t="shared" si="30"/>
        <v>0</v>
      </c>
      <c r="N53" s="184">
        <f t="shared" ref="N53:P53" si="34">sum( N43:N52)</f>
        <v>742.68</v>
      </c>
      <c r="O53" s="184">
        <f t="shared" si="34"/>
        <v>1133</v>
      </c>
      <c r="P53" s="184">
        <f t="shared" si="34"/>
        <v>390.32</v>
      </c>
      <c r="Q53" s="282"/>
    </row>
    <row r="54" ht="15.75" customHeight="1">
      <c r="A54" s="146" t="s">
        <v>471</v>
      </c>
      <c r="B54" s="146">
        <v>1.0</v>
      </c>
      <c r="C54" s="146">
        <v>24.0</v>
      </c>
      <c r="D54" s="331">
        <f t="shared" si="20"/>
        <v>24</v>
      </c>
      <c r="E54" s="146">
        <v>0.91</v>
      </c>
      <c r="F54" s="146">
        <v>2.0</v>
      </c>
      <c r="G54" s="94" t="str">
        <f t="shared" si="27"/>
        <v>54.5%</v>
      </c>
      <c r="H54" s="146">
        <v>1.0</v>
      </c>
      <c r="I54" s="331">
        <f t="shared" si="21"/>
        <v>24</v>
      </c>
      <c r="J54" s="94"/>
      <c r="K54" s="94">
        <f t="shared" si="28"/>
        <v>0</v>
      </c>
      <c r="L54" s="330">
        <f t="shared" si="29"/>
        <v>0</v>
      </c>
      <c r="M54" s="94">
        <f t="shared" si="30"/>
        <v>0</v>
      </c>
      <c r="N54" s="94">
        <f t="shared" ref="N54:N66" si="35">(D54 + K54 - M54) * E54</f>
        <v>21.84</v>
      </c>
      <c r="O54" s="94">
        <f t="shared" ref="O54:O66" si="36">I54*F54</f>
        <v>48</v>
      </c>
      <c r="P54" s="94">
        <f t="shared" ref="P54:P66" si="37">O54-N54</f>
        <v>26.16</v>
      </c>
      <c r="Q54" s="93"/>
    </row>
    <row r="55" ht="15.75" customHeight="1">
      <c r="A55" s="146" t="s">
        <v>469</v>
      </c>
      <c r="B55" s="146">
        <v>5.0</v>
      </c>
      <c r="C55" s="146">
        <v>24.0</v>
      </c>
      <c r="D55" s="331">
        <f t="shared" si="20"/>
        <v>120</v>
      </c>
      <c r="E55" s="146">
        <v>1.12</v>
      </c>
      <c r="F55" s="146">
        <v>2.0</v>
      </c>
      <c r="G55" s="94" t="str">
        <f t="shared" si="27"/>
        <v>44.%</v>
      </c>
      <c r="H55" s="146">
        <v>5.0</v>
      </c>
      <c r="I55" s="331">
        <f t="shared" si="21"/>
        <v>120</v>
      </c>
      <c r="J55" s="146">
        <v>0.0</v>
      </c>
      <c r="K55" s="94">
        <f t="shared" si="28"/>
        <v>0</v>
      </c>
      <c r="L55" s="330">
        <f t="shared" si="29"/>
        <v>0</v>
      </c>
      <c r="M55" s="94">
        <f t="shared" si="30"/>
        <v>0</v>
      </c>
      <c r="N55" s="94">
        <f t="shared" si="35"/>
        <v>134.4</v>
      </c>
      <c r="O55" s="94">
        <f t="shared" si="36"/>
        <v>240</v>
      </c>
      <c r="P55" s="94">
        <f t="shared" si="37"/>
        <v>105.6</v>
      </c>
      <c r="Q55" s="93"/>
    </row>
    <row r="56" ht="15.75" customHeight="1">
      <c r="A56" s="146" t="s">
        <v>472</v>
      </c>
      <c r="B56" s="146">
        <v>1.0</v>
      </c>
      <c r="C56" s="146">
        <v>12.0</v>
      </c>
      <c r="D56" s="331">
        <f t="shared" si="20"/>
        <v>12</v>
      </c>
      <c r="E56" s="146">
        <v>1.83</v>
      </c>
      <c r="F56" s="146">
        <v>3.0</v>
      </c>
      <c r="G56" s="94" t="str">
        <f t="shared" si="27"/>
        <v>39.%</v>
      </c>
      <c r="H56" s="146">
        <v>1.0</v>
      </c>
      <c r="I56" s="331">
        <f t="shared" si="21"/>
        <v>12</v>
      </c>
      <c r="J56" s="94"/>
      <c r="K56" s="94">
        <f t="shared" si="28"/>
        <v>0</v>
      </c>
      <c r="L56" s="330">
        <f t="shared" si="29"/>
        <v>0</v>
      </c>
      <c r="M56" s="94">
        <f t="shared" si="30"/>
        <v>0</v>
      </c>
      <c r="N56" s="94">
        <f t="shared" si="35"/>
        <v>21.96</v>
      </c>
      <c r="O56" s="94">
        <f t="shared" si="36"/>
        <v>36</v>
      </c>
      <c r="P56" s="94">
        <f t="shared" si="37"/>
        <v>14.04</v>
      </c>
      <c r="Q56" s="93"/>
    </row>
    <row r="57" ht="15.75" customHeight="1">
      <c r="A57" s="146" t="s">
        <v>473</v>
      </c>
      <c r="B57" s="146">
        <v>3.0</v>
      </c>
      <c r="C57" s="146">
        <v>30.0</v>
      </c>
      <c r="D57" s="331">
        <f t="shared" si="20"/>
        <v>90</v>
      </c>
      <c r="E57" s="146">
        <v>3.86</v>
      </c>
      <c r="F57" s="146">
        <v>5.0</v>
      </c>
      <c r="G57" s="94" t="str">
        <f t="shared" si="27"/>
        <v>22.8%</v>
      </c>
      <c r="H57" s="146">
        <v>3.0</v>
      </c>
      <c r="I57" s="331">
        <f t="shared" si="21"/>
        <v>90</v>
      </c>
      <c r="J57" s="94"/>
      <c r="K57" s="94">
        <f t="shared" si="28"/>
        <v>0</v>
      </c>
      <c r="L57" s="330">
        <f t="shared" si="29"/>
        <v>0</v>
      </c>
      <c r="M57" s="94">
        <f t="shared" si="30"/>
        <v>0</v>
      </c>
      <c r="N57" s="94">
        <f t="shared" si="35"/>
        <v>347.4</v>
      </c>
      <c r="O57" s="94">
        <f t="shared" si="36"/>
        <v>450</v>
      </c>
      <c r="P57" s="94">
        <f t="shared" si="37"/>
        <v>102.6</v>
      </c>
      <c r="Q57" s="93"/>
    </row>
    <row r="58" ht="15.75" customHeight="1">
      <c r="A58" s="146" t="s">
        <v>474</v>
      </c>
      <c r="B58" s="146">
        <v>1.0</v>
      </c>
      <c r="C58" s="146">
        <v>40.0</v>
      </c>
      <c r="D58" s="331">
        <f t="shared" si="20"/>
        <v>40</v>
      </c>
      <c r="E58" s="146">
        <v>1.5</v>
      </c>
      <c r="F58" s="146">
        <v>3.0</v>
      </c>
      <c r="G58" s="94" t="str">
        <f t="shared" si="27"/>
        <v>50%</v>
      </c>
      <c r="H58" s="146">
        <v>1.0</v>
      </c>
      <c r="I58" s="331">
        <f t="shared" si="21"/>
        <v>40</v>
      </c>
      <c r="J58" s="94"/>
      <c r="K58" s="94">
        <f t="shared" si="28"/>
        <v>0</v>
      </c>
      <c r="L58" s="330">
        <f t="shared" si="29"/>
        <v>0</v>
      </c>
      <c r="M58" s="94">
        <f t="shared" si="30"/>
        <v>0</v>
      </c>
      <c r="N58" s="94">
        <f t="shared" si="35"/>
        <v>60</v>
      </c>
      <c r="O58" s="94">
        <f t="shared" si="36"/>
        <v>120</v>
      </c>
      <c r="P58" s="94">
        <f t="shared" si="37"/>
        <v>60</v>
      </c>
      <c r="Q58" s="93"/>
    </row>
    <row r="59" ht="15.75" customHeight="1">
      <c r="A59" s="146" t="s">
        <v>475</v>
      </c>
      <c r="B59" s="146">
        <v>3.0</v>
      </c>
      <c r="C59" s="146">
        <v>24.0</v>
      </c>
      <c r="D59" s="331">
        <f t="shared" si="20"/>
        <v>72</v>
      </c>
      <c r="E59" s="146">
        <v>2.41</v>
      </c>
      <c r="F59" s="146">
        <v>4.0</v>
      </c>
      <c r="G59" s="94" t="str">
        <f t="shared" si="27"/>
        <v>39.75%</v>
      </c>
      <c r="H59" s="146">
        <v>3.0</v>
      </c>
      <c r="I59" s="331">
        <f t="shared" si="21"/>
        <v>72</v>
      </c>
      <c r="J59" s="146">
        <v>0.0</v>
      </c>
      <c r="K59" s="94">
        <f t="shared" si="28"/>
        <v>0</v>
      </c>
      <c r="L59" s="330">
        <f t="shared" si="29"/>
        <v>0</v>
      </c>
      <c r="M59" s="94">
        <f t="shared" si="30"/>
        <v>0</v>
      </c>
      <c r="N59" s="94">
        <f t="shared" si="35"/>
        <v>173.52</v>
      </c>
      <c r="O59" s="94">
        <f t="shared" si="36"/>
        <v>288</v>
      </c>
      <c r="P59" s="94">
        <f t="shared" si="37"/>
        <v>114.48</v>
      </c>
      <c r="Q59" s="93"/>
    </row>
    <row r="60" ht="15.75" customHeight="1">
      <c r="A60" s="146" t="s">
        <v>476</v>
      </c>
      <c r="B60" s="146">
        <v>3.0</v>
      </c>
      <c r="C60" s="146">
        <v>14.0</v>
      </c>
      <c r="D60" s="331">
        <f t="shared" si="20"/>
        <v>42</v>
      </c>
      <c r="E60" s="146">
        <v>3.0</v>
      </c>
      <c r="F60" s="146">
        <v>4.0</v>
      </c>
      <c r="G60" s="94" t="str">
        <f t="shared" si="27"/>
        <v>25%</v>
      </c>
      <c r="H60" s="146">
        <v>3.0</v>
      </c>
      <c r="I60" s="331">
        <f t="shared" si="21"/>
        <v>42</v>
      </c>
      <c r="J60" s="94"/>
      <c r="K60" s="94">
        <f t="shared" si="28"/>
        <v>0</v>
      </c>
      <c r="L60" s="330">
        <f t="shared" si="29"/>
        <v>0</v>
      </c>
      <c r="M60" s="94">
        <f t="shared" si="30"/>
        <v>0</v>
      </c>
      <c r="N60" s="94">
        <f t="shared" si="35"/>
        <v>126</v>
      </c>
      <c r="O60" s="94">
        <f t="shared" si="36"/>
        <v>168</v>
      </c>
      <c r="P60" s="94">
        <f t="shared" si="37"/>
        <v>42</v>
      </c>
      <c r="Q60" s="93"/>
    </row>
    <row r="61" ht="15.75" customHeight="1">
      <c r="A61" s="146" t="s">
        <v>477</v>
      </c>
      <c r="B61" s="146">
        <v>1.0</v>
      </c>
      <c r="C61" s="146">
        <v>24.0</v>
      </c>
      <c r="D61" s="331">
        <f t="shared" si="20"/>
        <v>24</v>
      </c>
      <c r="E61" s="146">
        <v>2.0</v>
      </c>
      <c r="F61" s="146">
        <v>3.0</v>
      </c>
      <c r="G61" s="94" t="str">
        <f t="shared" si="27"/>
        <v>33.3333333333333%</v>
      </c>
      <c r="H61" s="146">
        <v>1.0</v>
      </c>
      <c r="I61" s="331">
        <f t="shared" si="21"/>
        <v>24</v>
      </c>
      <c r="J61" s="94"/>
      <c r="K61" s="94">
        <f t="shared" si="28"/>
        <v>0</v>
      </c>
      <c r="L61" s="330">
        <f t="shared" si="29"/>
        <v>0</v>
      </c>
      <c r="M61" s="94">
        <f t="shared" si="30"/>
        <v>0</v>
      </c>
      <c r="N61" s="94">
        <f t="shared" si="35"/>
        <v>48</v>
      </c>
      <c r="O61" s="94">
        <f t="shared" si="36"/>
        <v>72</v>
      </c>
      <c r="P61" s="94">
        <f t="shared" si="37"/>
        <v>24</v>
      </c>
      <c r="Q61" s="93"/>
    </row>
    <row r="62" ht="15.75" customHeight="1">
      <c r="A62" s="146" t="s">
        <v>465</v>
      </c>
      <c r="B62" s="146">
        <v>2.0</v>
      </c>
      <c r="C62" s="146">
        <v>12.0</v>
      </c>
      <c r="D62" s="331">
        <f t="shared" si="20"/>
        <v>24</v>
      </c>
      <c r="E62" s="146">
        <v>0.91</v>
      </c>
      <c r="F62" s="146">
        <v>3.0</v>
      </c>
      <c r="G62" s="94" t="str">
        <f t="shared" si="27"/>
        <v>69.6666666666667%</v>
      </c>
      <c r="H62" s="146">
        <v>2.0</v>
      </c>
      <c r="I62" s="331">
        <f t="shared" si="21"/>
        <v>24</v>
      </c>
      <c r="J62" s="94"/>
      <c r="K62" s="94">
        <f t="shared" si="28"/>
        <v>0</v>
      </c>
      <c r="L62" s="330">
        <f t="shared" si="29"/>
        <v>0</v>
      </c>
      <c r="M62" s="94">
        <f t="shared" si="30"/>
        <v>0</v>
      </c>
      <c r="N62" s="94">
        <f t="shared" si="35"/>
        <v>21.84</v>
      </c>
      <c r="O62" s="94">
        <f t="shared" si="36"/>
        <v>72</v>
      </c>
      <c r="P62" s="94">
        <f t="shared" si="37"/>
        <v>50.16</v>
      </c>
      <c r="Q62" s="93"/>
    </row>
    <row r="63" ht="15.75" customHeight="1">
      <c r="A63" s="146" t="s">
        <v>478</v>
      </c>
      <c r="B63" s="146">
        <v>4.0</v>
      </c>
      <c r="C63" s="146">
        <v>12.0</v>
      </c>
      <c r="D63" s="331">
        <f t="shared" si="20"/>
        <v>48</v>
      </c>
      <c r="E63" s="146">
        <v>2.83</v>
      </c>
      <c r="F63" s="146">
        <v>4.0</v>
      </c>
      <c r="G63" s="94" t="str">
        <f t="shared" si="27"/>
        <v>29.25%</v>
      </c>
      <c r="H63" s="146">
        <v>4.0</v>
      </c>
      <c r="I63" s="331">
        <f t="shared" si="21"/>
        <v>48</v>
      </c>
      <c r="J63" s="146">
        <v>0.0</v>
      </c>
      <c r="K63" s="94">
        <f t="shared" si="28"/>
        <v>0</v>
      </c>
      <c r="L63" s="330">
        <f t="shared" si="29"/>
        <v>0</v>
      </c>
      <c r="M63" s="94">
        <f t="shared" si="30"/>
        <v>0</v>
      </c>
      <c r="N63" s="94">
        <f t="shared" si="35"/>
        <v>135.84</v>
      </c>
      <c r="O63" s="94">
        <f t="shared" si="36"/>
        <v>192</v>
      </c>
      <c r="P63" s="94">
        <f t="shared" si="37"/>
        <v>56.16</v>
      </c>
      <c r="Q63" s="93"/>
    </row>
    <row r="64" ht="15.75" customHeight="1">
      <c r="A64" s="146" t="s">
        <v>479</v>
      </c>
      <c r="B64" s="146">
        <v>1.0</v>
      </c>
      <c r="C64" s="146">
        <v>12.0</v>
      </c>
      <c r="D64" s="331">
        <f t="shared" si="20"/>
        <v>12</v>
      </c>
      <c r="E64" s="146">
        <v>4.42</v>
      </c>
      <c r="F64" s="146">
        <v>6.0</v>
      </c>
      <c r="G64" s="94" t="str">
        <f t="shared" si="27"/>
        <v>26.3333333333333%</v>
      </c>
      <c r="H64" s="146">
        <v>1.0</v>
      </c>
      <c r="I64" s="331">
        <f t="shared" si="21"/>
        <v>12</v>
      </c>
      <c r="J64" s="146"/>
      <c r="K64" s="94">
        <f t="shared" si="28"/>
        <v>0</v>
      </c>
      <c r="L64" s="330">
        <f t="shared" si="29"/>
        <v>0</v>
      </c>
      <c r="M64" s="94">
        <f t="shared" si="30"/>
        <v>0</v>
      </c>
      <c r="N64" s="94">
        <f t="shared" si="35"/>
        <v>53.04</v>
      </c>
      <c r="O64" s="94">
        <f t="shared" si="36"/>
        <v>72</v>
      </c>
      <c r="P64" s="94">
        <f t="shared" si="37"/>
        <v>18.96</v>
      </c>
      <c r="Q64" s="93"/>
    </row>
    <row r="65" ht="15.75" customHeight="1">
      <c r="A65" s="146" t="s">
        <v>480</v>
      </c>
      <c r="B65" s="146">
        <v>19.0</v>
      </c>
      <c r="C65" s="146">
        <v>24.0</v>
      </c>
      <c r="D65" s="331">
        <f t="shared" si="20"/>
        <v>456</v>
      </c>
      <c r="E65" s="146">
        <v>0.42</v>
      </c>
      <c r="F65" s="146">
        <v>1.0</v>
      </c>
      <c r="G65" s="94" t="str">
        <f t="shared" si="27"/>
        <v>58.%</v>
      </c>
      <c r="H65" s="146">
        <v>19.0</v>
      </c>
      <c r="I65" s="331">
        <f t="shared" si="21"/>
        <v>456</v>
      </c>
      <c r="J65" s="146">
        <v>0.0</v>
      </c>
      <c r="K65" s="94">
        <f t="shared" si="28"/>
        <v>0</v>
      </c>
      <c r="L65" s="330">
        <f t="shared" si="29"/>
        <v>0</v>
      </c>
      <c r="M65" s="94">
        <f t="shared" si="30"/>
        <v>0</v>
      </c>
      <c r="N65" s="94">
        <f t="shared" si="35"/>
        <v>191.52</v>
      </c>
      <c r="O65" s="94">
        <f t="shared" si="36"/>
        <v>456</v>
      </c>
      <c r="P65" s="94">
        <f t="shared" si="37"/>
        <v>264.48</v>
      </c>
      <c r="Q65" s="93"/>
    </row>
    <row r="66" ht="15.75" customHeight="1">
      <c r="A66" s="146" t="s">
        <v>481</v>
      </c>
      <c r="B66" s="146">
        <v>1.0</v>
      </c>
      <c r="C66" s="146">
        <v>24.0</v>
      </c>
      <c r="D66" s="331">
        <f t="shared" si="20"/>
        <v>24</v>
      </c>
      <c r="E66" s="146">
        <v>1.37</v>
      </c>
      <c r="F66" s="146">
        <v>2.0</v>
      </c>
      <c r="G66" s="94" t="str">
        <f t="shared" si="27"/>
        <v>31.5%</v>
      </c>
      <c r="H66" s="146">
        <v>1.0</v>
      </c>
      <c r="I66" s="331">
        <f t="shared" si="21"/>
        <v>24</v>
      </c>
      <c r="J66" s="146"/>
      <c r="K66" s="94">
        <f t="shared" si="28"/>
        <v>0</v>
      </c>
      <c r="L66" s="330">
        <f t="shared" si="29"/>
        <v>0</v>
      </c>
      <c r="M66" s="94">
        <f t="shared" si="30"/>
        <v>0</v>
      </c>
      <c r="N66" s="94">
        <f t="shared" si="35"/>
        <v>32.88</v>
      </c>
      <c r="O66" s="94">
        <f t="shared" si="36"/>
        <v>48</v>
      </c>
      <c r="P66" s="94">
        <f t="shared" si="37"/>
        <v>15.12</v>
      </c>
      <c r="Q66" s="93"/>
    </row>
    <row r="67" ht="15.75" customHeight="1">
      <c r="A67" s="183" t="s">
        <v>482</v>
      </c>
      <c r="B67" s="184"/>
      <c r="C67" s="184"/>
      <c r="D67" s="331">
        <f t="shared" si="20"/>
        <v>0</v>
      </c>
      <c r="E67" s="184"/>
      <c r="F67" s="184"/>
      <c r="G67" s="184" t="str">
        <f t="shared" si="27"/>
        <v>#DIV/0!</v>
      </c>
      <c r="H67" s="184"/>
      <c r="I67" s="331">
        <f t="shared" si="21"/>
        <v>0</v>
      </c>
      <c r="J67" s="184"/>
      <c r="K67" s="184">
        <f t="shared" si="28"/>
        <v>0</v>
      </c>
      <c r="L67" s="320">
        <f t="shared" si="29"/>
        <v>0</v>
      </c>
      <c r="M67" s="184">
        <f t="shared" si="30"/>
        <v>0</v>
      </c>
      <c r="N67" s="184">
        <f t="shared" ref="N67:P67" si="38">sum( N54:N66)</f>
        <v>1368.24</v>
      </c>
      <c r="O67" s="184">
        <f t="shared" si="38"/>
        <v>2262</v>
      </c>
      <c r="P67" s="184">
        <f t="shared" si="38"/>
        <v>893.76</v>
      </c>
      <c r="Q67" s="282"/>
    </row>
    <row r="68" ht="15.75" customHeight="1">
      <c r="A68" s="146" t="s">
        <v>478</v>
      </c>
      <c r="B68" s="146">
        <v>7.0</v>
      </c>
      <c r="C68" s="146">
        <v>12.0</v>
      </c>
      <c r="D68" s="331">
        <f t="shared" si="20"/>
        <v>84</v>
      </c>
      <c r="E68" s="146">
        <v>2.83</v>
      </c>
      <c r="F68" s="146">
        <v>5.0</v>
      </c>
      <c r="G68" s="94" t="str">
        <f t="shared" si="27"/>
        <v>43.4%</v>
      </c>
      <c r="H68" s="146">
        <v>7.0</v>
      </c>
      <c r="I68" s="331">
        <f t="shared" si="21"/>
        <v>84</v>
      </c>
      <c r="J68" s="146">
        <v>0.0</v>
      </c>
      <c r="K68" s="94">
        <f t="shared" si="28"/>
        <v>0</v>
      </c>
      <c r="L68" s="330">
        <f t="shared" si="29"/>
        <v>0</v>
      </c>
      <c r="M68" s="94">
        <f t="shared" si="30"/>
        <v>0</v>
      </c>
      <c r="N68" s="94">
        <f t="shared" ref="N68:N83" si="39">(D68 + K68 - M68) * E68</f>
        <v>237.72</v>
      </c>
      <c r="O68" s="94">
        <f t="shared" ref="O68:O83" si="40">I68*F68</f>
        <v>420</v>
      </c>
      <c r="P68" s="94">
        <f t="shared" ref="P68:P83" si="41">O68-N68</f>
        <v>182.28</v>
      </c>
      <c r="Q68" s="93"/>
    </row>
    <row r="69" ht="15.75" customHeight="1">
      <c r="A69" s="146" t="s">
        <v>479</v>
      </c>
      <c r="B69" s="146">
        <v>2.0</v>
      </c>
      <c r="C69" s="146">
        <v>12.0</v>
      </c>
      <c r="D69" s="331">
        <f t="shared" si="20"/>
        <v>24</v>
      </c>
      <c r="E69" s="146">
        <v>4.42</v>
      </c>
      <c r="F69" s="146">
        <v>6.0</v>
      </c>
      <c r="G69" s="94" t="str">
        <f t="shared" si="27"/>
        <v>26.3333333333333%</v>
      </c>
      <c r="H69" s="146">
        <v>2.0</v>
      </c>
      <c r="I69" s="331">
        <f t="shared" si="21"/>
        <v>24</v>
      </c>
      <c r="J69" s="146"/>
      <c r="K69" s="94">
        <f t="shared" si="28"/>
        <v>0</v>
      </c>
      <c r="L69" s="330">
        <f t="shared" si="29"/>
        <v>0</v>
      </c>
      <c r="M69" s="94">
        <f t="shared" si="30"/>
        <v>0</v>
      </c>
      <c r="N69" s="94">
        <f t="shared" si="39"/>
        <v>106.08</v>
      </c>
      <c r="O69" s="94">
        <f t="shared" si="40"/>
        <v>144</v>
      </c>
      <c r="P69" s="94">
        <f t="shared" si="41"/>
        <v>37.92</v>
      </c>
      <c r="Q69" s="93"/>
    </row>
    <row r="70" ht="15.75" customHeight="1">
      <c r="A70" s="146" t="s">
        <v>483</v>
      </c>
      <c r="B70" s="146">
        <v>2.0</v>
      </c>
      <c r="C70" s="146">
        <v>12.0</v>
      </c>
      <c r="D70" s="331">
        <f t="shared" si="20"/>
        <v>24</v>
      </c>
      <c r="E70" s="146">
        <v>1.83</v>
      </c>
      <c r="F70" s="146">
        <v>3.0</v>
      </c>
      <c r="G70" s="94" t="str">
        <f t="shared" si="27"/>
        <v>39.%</v>
      </c>
      <c r="H70" s="146">
        <v>2.0</v>
      </c>
      <c r="I70" s="331">
        <f t="shared" si="21"/>
        <v>24</v>
      </c>
      <c r="J70" s="146"/>
      <c r="K70" s="94">
        <f t="shared" si="28"/>
        <v>0</v>
      </c>
      <c r="L70" s="330">
        <f t="shared" si="29"/>
        <v>0</v>
      </c>
      <c r="M70" s="94">
        <f t="shared" si="30"/>
        <v>0</v>
      </c>
      <c r="N70" s="94">
        <f t="shared" si="39"/>
        <v>43.92</v>
      </c>
      <c r="O70" s="94">
        <f t="shared" si="40"/>
        <v>72</v>
      </c>
      <c r="P70" s="94">
        <f t="shared" si="41"/>
        <v>28.08</v>
      </c>
      <c r="Q70" s="93"/>
    </row>
    <row r="71" ht="15.75" customHeight="1">
      <c r="A71" s="146" t="s">
        <v>480</v>
      </c>
      <c r="B71" s="146">
        <v>22.0</v>
      </c>
      <c r="C71" s="146">
        <v>24.0</v>
      </c>
      <c r="D71" s="331">
        <f t="shared" si="20"/>
        <v>528</v>
      </c>
      <c r="E71" s="146">
        <v>0.42</v>
      </c>
      <c r="F71" s="146">
        <v>1.0</v>
      </c>
      <c r="G71" s="94" t="str">
        <f t="shared" si="27"/>
        <v>58.%</v>
      </c>
      <c r="H71" s="146">
        <v>22.0</v>
      </c>
      <c r="I71" s="331">
        <f t="shared" si="21"/>
        <v>528</v>
      </c>
      <c r="J71" s="146">
        <v>0.0</v>
      </c>
      <c r="K71" s="94">
        <f t="shared" si="28"/>
        <v>0</v>
      </c>
      <c r="L71" s="330">
        <f t="shared" si="29"/>
        <v>0</v>
      </c>
      <c r="M71" s="94">
        <f t="shared" si="30"/>
        <v>0</v>
      </c>
      <c r="N71" s="94">
        <f t="shared" si="39"/>
        <v>221.76</v>
      </c>
      <c r="O71" s="94">
        <f t="shared" si="40"/>
        <v>528</v>
      </c>
      <c r="P71" s="94">
        <f t="shared" si="41"/>
        <v>306.24</v>
      </c>
      <c r="Q71" s="93"/>
    </row>
    <row r="72" ht="15.75" customHeight="1">
      <c r="A72" s="146" t="s">
        <v>484</v>
      </c>
      <c r="B72" s="146">
        <v>1.0</v>
      </c>
      <c r="C72" s="146">
        <v>24.0</v>
      </c>
      <c r="D72" s="331">
        <f t="shared" si="20"/>
        <v>24</v>
      </c>
      <c r="E72" s="146">
        <v>2.9</v>
      </c>
      <c r="F72" s="146">
        <v>4.0</v>
      </c>
      <c r="G72" s="94" t="str">
        <f t="shared" si="27"/>
        <v>27.5%</v>
      </c>
      <c r="H72" s="146"/>
      <c r="I72" s="331">
        <f t="shared" si="21"/>
        <v>0</v>
      </c>
      <c r="J72" s="146"/>
      <c r="K72" s="94">
        <f t="shared" si="28"/>
        <v>0</v>
      </c>
      <c r="L72" s="330">
        <f t="shared" si="29"/>
        <v>1</v>
      </c>
      <c r="M72" s="94">
        <f t="shared" si="30"/>
        <v>24</v>
      </c>
      <c r="N72" s="94">
        <f t="shared" si="39"/>
        <v>0</v>
      </c>
      <c r="O72" s="94">
        <f t="shared" si="40"/>
        <v>0</v>
      </c>
      <c r="P72" s="94">
        <f t="shared" si="41"/>
        <v>0</v>
      </c>
      <c r="Q72" s="93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 ht="15.75" customHeight="1">
      <c r="A73" s="332" t="s">
        <v>475</v>
      </c>
      <c r="B73" s="214">
        <v>1.0</v>
      </c>
      <c r="C73" s="215">
        <v>24.0</v>
      </c>
      <c r="D73" s="333">
        <f t="shared" si="20"/>
        <v>24</v>
      </c>
      <c r="E73" s="215">
        <v>2.41</v>
      </c>
      <c r="F73" s="215">
        <v>4.0</v>
      </c>
      <c r="G73" s="217" t="str">
        <f t="shared" si="27"/>
        <v>39.75%</v>
      </c>
      <c r="H73" s="286">
        <v>1.0</v>
      </c>
      <c r="I73" s="333">
        <f t="shared" si="21"/>
        <v>24</v>
      </c>
      <c r="J73" s="215">
        <v>0.0</v>
      </c>
      <c r="K73" s="221">
        <f t="shared" si="28"/>
        <v>0</v>
      </c>
      <c r="L73" s="334">
        <f t="shared" si="29"/>
        <v>0</v>
      </c>
      <c r="M73" s="221">
        <f t="shared" si="30"/>
        <v>0</v>
      </c>
      <c r="N73" s="94">
        <f t="shared" si="39"/>
        <v>57.84</v>
      </c>
      <c r="O73" s="94">
        <f t="shared" si="40"/>
        <v>96</v>
      </c>
      <c r="P73" s="94">
        <f t="shared" si="41"/>
        <v>38.16</v>
      </c>
      <c r="Q73" s="335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 ht="15.75" customHeight="1">
      <c r="A74" s="336" t="s">
        <v>476</v>
      </c>
      <c r="B74" s="224">
        <v>6.0</v>
      </c>
      <c r="C74" s="225">
        <v>14.0</v>
      </c>
      <c r="D74" s="337">
        <f t="shared" si="20"/>
        <v>84</v>
      </c>
      <c r="E74" s="225">
        <v>3.0</v>
      </c>
      <c r="F74" s="225">
        <v>4.0</v>
      </c>
      <c r="G74" s="228" t="str">
        <f t="shared" si="27"/>
        <v>25%</v>
      </c>
      <c r="H74" s="293">
        <v>6.0</v>
      </c>
      <c r="I74" s="337">
        <f t="shared" si="21"/>
        <v>84</v>
      </c>
      <c r="J74" s="293">
        <v>0.0</v>
      </c>
      <c r="K74" s="227">
        <f t="shared" si="28"/>
        <v>0</v>
      </c>
      <c r="L74" s="334">
        <f t="shared" si="29"/>
        <v>0</v>
      </c>
      <c r="M74" s="227">
        <f t="shared" si="30"/>
        <v>0</v>
      </c>
      <c r="N74" s="94">
        <f t="shared" si="39"/>
        <v>252</v>
      </c>
      <c r="O74" s="94">
        <f t="shared" si="40"/>
        <v>336</v>
      </c>
      <c r="P74" s="94">
        <f t="shared" si="41"/>
        <v>84</v>
      </c>
      <c r="Q74" s="33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 ht="15.75" customHeight="1">
      <c r="A75" s="332" t="s">
        <v>473</v>
      </c>
      <c r="B75" s="214">
        <v>2.0</v>
      </c>
      <c r="C75" s="215">
        <v>30.0</v>
      </c>
      <c r="D75" s="333">
        <f t="shared" si="20"/>
        <v>60</v>
      </c>
      <c r="E75" s="214">
        <v>3.83</v>
      </c>
      <c r="F75" s="215">
        <v>5.0</v>
      </c>
      <c r="G75" s="217" t="str">
        <f t="shared" si="27"/>
        <v>23.4%</v>
      </c>
      <c r="H75" s="286">
        <v>2.0</v>
      </c>
      <c r="I75" s="333">
        <f t="shared" si="21"/>
        <v>60</v>
      </c>
      <c r="J75" s="286"/>
      <c r="K75" s="221">
        <f t="shared" si="28"/>
        <v>0</v>
      </c>
      <c r="L75" s="334">
        <f t="shared" si="29"/>
        <v>0</v>
      </c>
      <c r="M75" s="221">
        <f t="shared" si="30"/>
        <v>0</v>
      </c>
      <c r="N75" s="94">
        <f t="shared" si="39"/>
        <v>229.8</v>
      </c>
      <c r="O75" s="94">
        <f t="shared" si="40"/>
        <v>300</v>
      </c>
      <c r="P75" s="94">
        <f t="shared" si="41"/>
        <v>70.2</v>
      </c>
      <c r="Q75" s="335"/>
    </row>
    <row r="76" ht="15.75" customHeight="1">
      <c r="A76" s="332" t="s">
        <v>473</v>
      </c>
      <c r="B76" s="214">
        <v>3.0</v>
      </c>
      <c r="C76" s="215">
        <v>30.0</v>
      </c>
      <c r="D76" s="333">
        <f t="shared" si="20"/>
        <v>90</v>
      </c>
      <c r="E76" s="214">
        <v>3.93</v>
      </c>
      <c r="F76" s="215">
        <v>5.0</v>
      </c>
      <c r="G76" s="217" t="str">
        <f t="shared" si="27"/>
        <v>21.4%</v>
      </c>
      <c r="H76" s="286">
        <v>3.0</v>
      </c>
      <c r="I76" s="333">
        <f t="shared" si="21"/>
        <v>90</v>
      </c>
      <c r="J76" s="286">
        <v>0.0</v>
      </c>
      <c r="K76" s="221">
        <f t="shared" si="28"/>
        <v>0</v>
      </c>
      <c r="L76" s="334">
        <f t="shared" si="29"/>
        <v>0</v>
      </c>
      <c r="M76" s="221">
        <f t="shared" si="30"/>
        <v>0</v>
      </c>
      <c r="N76" s="94">
        <f t="shared" si="39"/>
        <v>353.7</v>
      </c>
      <c r="O76" s="94">
        <f t="shared" si="40"/>
        <v>450</v>
      </c>
      <c r="P76" s="94">
        <f t="shared" si="41"/>
        <v>96.3</v>
      </c>
      <c r="Q76" s="335"/>
    </row>
    <row r="77" ht="15.75" customHeight="1">
      <c r="A77" s="233" t="s">
        <v>481</v>
      </c>
      <c r="B77" s="234">
        <v>4.0</v>
      </c>
      <c r="C77" s="234">
        <v>24.0</v>
      </c>
      <c r="D77" s="339">
        <f t="shared" si="20"/>
        <v>96</v>
      </c>
      <c r="E77" s="234">
        <v>1.37</v>
      </c>
      <c r="F77" s="234">
        <v>2.0</v>
      </c>
      <c r="G77" s="236" t="str">
        <f t="shared" si="27"/>
        <v>31.5%</v>
      </c>
      <c r="H77" s="303">
        <v>4.0</v>
      </c>
      <c r="I77" s="339">
        <f t="shared" si="21"/>
        <v>96</v>
      </c>
      <c r="J77" s="303">
        <v>0.0</v>
      </c>
      <c r="K77" s="237">
        <f t="shared" si="28"/>
        <v>0</v>
      </c>
      <c r="L77" s="340">
        <f t="shared" si="29"/>
        <v>0</v>
      </c>
      <c r="M77" s="237">
        <f t="shared" si="30"/>
        <v>0</v>
      </c>
      <c r="N77" s="94">
        <f t="shared" si="39"/>
        <v>131.52</v>
      </c>
      <c r="O77" s="94">
        <f t="shared" si="40"/>
        <v>192</v>
      </c>
      <c r="P77" s="94">
        <f t="shared" si="41"/>
        <v>60.48</v>
      </c>
      <c r="Q77" s="239"/>
    </row>
    <row r="78" ht="15.75" customHeight="1">
      <c r="A78" s="233" t="s">
        <v>467</v>
      </c>
      <c r="B78" s="234">
        <v>1.0</v>
      </c>
      <c r="C78" s="234">
        <v>25.0</v>
      </c>
      <c r="D78" s="339">
        <f t="shared" si="20"/>
        <v>25</v>
      </c>
      <c r="E78" s="234">
        <v>2.76</v>
      </c>
      <c r="F78" s="234">
        <v>4.0</v>
      </c>
      <c r="G78" s="236" t="str">
        <f t="shared" si="27"/>
        <v>31.%</v>
      </c>
      <c r="H78" s="303">
        <v>1.0</v>
      </c>
      <c r="I78" s="339">
        <f t="shared" si="21"/>
        <v>25</v>
      </c>
      <c r="J78" s="341"/>
      <c r="K78" s="237">
        <f t="shared" si="28"/>
        <v>0</v>
      </c>
      <c r="L78" s="340">
        <f t="shared" si="29"/>
        <v>0</v>
      </c>
      <c r="M78" s="237">
        <f t="shared" si="30"/>
        <v>0</v>
      </c>
      <c r="N78" s="94">
        <f t="shared" si="39"/>
        <v>69</v>
      </c>
      <c r="O78" s="94">
        <f t="shared" si="40"/>
        <v>100</v>
      </c>
      <c r="P78" s="94">
        <f t="shared" si="41"/>
        <v>31</v>
      </c>
      <c r="Q78" s="239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 ht="15.75" customHeight="1">
      <c r="A79" s="233" t="s">
        <v>485</v>
      </c>
      <c r="B79" s="234">
        <v>2.0</v>
      </c>
      <c r="C79" s="234">
        <v>24.0</v>
      </c>
      <c r="D79" s="339">
        <f t="shared" si="20"/>
        <v>48</v>
      </c>
      <c r="E79" s="234">
        <v>1.79</v>
      </c>
      <c r="F79" s="234">
        <v>3.0</v>
      </c>
      <c r="G79" s="236" t="str">
        <f t="shared" si="27"/>
        <v>40.3333333333333%</v>
      </c>
      <c r="H79" s="303">
        <v>2.0</v>
      </c>
      <c r="I79" s="339">
        <f t="shared" si="21"/>
        <v>48</v>
      </c>
      <c r="J79" s="303">
        <v>0.0</v>
      </c>
      <c r="K79" s="237">
        <f t="shared" si="28"/>
        <v>0</v>
      </c>
      <c r="L79" s="340">
        <f t="shared" si="29"/>
        <v>0</v>
      </c>
      <c r="M79" s="237">
        <f t="shared" si="30"/>
        <v>0</v>
      </c>
      <c r="N79" s="94">
        <f t="shared" si="39"/>
        <v>85.92</v>
      </c>
      <c r="O79" s="94">
        <f t="shared" si="40"/>
        <v>144</v>
      </c>
      <c r="P79" s="94">
        <f t="shared" si="41"/>
        <v>58.08</v>
      </c>
      <c r="Q79" s="239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 ht="15.75" customHeight="1">
      <c r="A80" s="146" t="s">
        <v>469</v>
      </c>
      <c r="B80" s="146">
        <v>4.0</v>
      </c>
      <c r="C80" s="146">
        <v>24.0</v>
      </c>
      <c r="D80" s="331">
        <f t="shared" si="20"/>
        <v>96</v>
      </c>
      <c r="E80" s="146">
        <v>1.12</v>
      </c>
      <c r="F80" s="146">
        <v>2.0</v>
      </c>
      <c r="G80" s="94" t="str">
        <f t="shared" si="27"/>
        <v>44.%</v>
      </c>
      <c r="H80" s="146">
        <v>4.0</v>
      </c>
      <c r="I80" s="331">
        <f t="shared" si="21"/>
        <v>96</v>
      </c>
      <c r="J80" s="146">
        <v>0.0</v>
      </c>
      <c r="K80" s="94">
        <f t="shared" si="28"/>
        <v>0</v>
      </c>
      <c r="L80" s="330">
        <f t="shared" si="29"/>
        <v>0</v>
      </c>
      <c r="M80" s="94">
        <f t="shared" si="30"/>
        <v>0</v>
      </c>
      <c r="N80" s="94">
        <f t="shared" si="39"/>
        <v>107.52</v>
      </c>
      <c r="O80" s="94">
        <f t="shared" si="40"/>
        <v>192</v>
      </c>
      <c r="P80" s="94">
        <f t="shared" si="41"/>
        <v>84.48</v>
      </c>
      <c r="Q80" s="93"/>
    </row>
    <row r="81" ht="15.75" customHeight="1">
      <c r="A81" s="332" t="s">
        <v>477</v>
      </c>
      <c r="B81" s="215">
        <v>1.0</v>
      </c>
      <c r="C81" s="215">
        <v>24.0</v>
      </c>
      <c r="D81" s="333">
        <f t="shared" si="20"/>
        <v>24</v>
      </c>
      <c r="E81" s="214">
        <v>2.58</v>
      </c>
      <c r="F81" s="215">
        <v>3.0</v>
      </c>
      <c r="G81" s="217" t="str">
        <f t="shared" si="27"/>
        <v>14.%</v>
      </c>
      <c r="H81" s="286">
        <v>1.0</v>
      </c>
      <c r="I81" s="333">
        <f t="shared" si="21"/>
        <v>24</v>
      </c>
      <c r="J81" s="306"/>
      <c r="K81" s="221">
        <f t="shared" si="28"/>
        <v>0</v>
      </c>
      <c r="L81" s="334">
        <f t="shared" si="29"/>
        <v>0</v>
      </c>
      <c r="M81" s="221">
        <f t="shared" si="30"/>
        <v>0</v>
      </c>
      <c r="N81" s="94">
        <f t="shared" si="39"/>
        <v>61.92</v>
      </c>
      <c r="O81" s="94">
        <f t="shared" si="40"/>
        <v>72</v>
      </c>
      <c r="P81" s="94">
        <f t="shared" si="41"/>
        <v>10.08</v>
      </c>
      <c r="Q81" s="335"/>
    </row>
    <row r="82" ht="15.75" customHeight="1">
      <c r="A82" s="332" t="s">
        <v>477</v>
      </c>
      <c r="B82" s="215">
        <v>1.0</v>
      </c>
      <c r="C82" s="215">
        <v>24.0</v>
      </c>
      <c r="D82" s="333">
        <f t="shared" si="20"/>
        <v>24</v>
      </c>
      <c r="E82" s="214">
        <v>2.58</v>
      </c>
      <c r="F82" s="214">
        <v>4.0</v>
      </c>
      <c r="G82" s="217" t="str">
        <f t="shared" si="27"/>
        <v>35.5%</v>
      </c>
      <c r="H82" s="286">
        <v>0.0</v>
      </c>
      <c r="I82" s="333">
        <f t="shared" si="21"/>
        <v>0</v>
      </c>
      <c r="J82" s="286">
        <v>0.0</v>
      </c>
      <c r="K82" s="221">
        <f t="shared" si="28"/>
        <v>0</v>
      </c>
      <c r="L82" s="334">
        <f t="shared" si="29"/>
        <v>1</v>
      </c>
      <c r="M82" s="221">
        <f t="shared" si="30"/>
        <v>24</v>
      </c>
      <c r="N82" s="94">
        <f t="shared" si="39"/>
        <v>0</v>
      </c>
      <c r="O82" s="94">
        <f t="shared" si="40"/>
        <v>0</v>
      </c>
      <c r="P82" s="94">
        <f t="shared" si="41"/>
        <v>0</v>
      </c>
      <c r="Q82" s="338"/>
    </row>
    <row r="83" ht="15.75" customHeight="1">
      <c r="A83" s="233" t="s">
        <v>486</v>
      </c>
      <c r="B83" s="234">
        <v>7.0</v>
      </c>
      <c r="C83" s="234">
        <v>8.0</v>
      </c>
      <c r="D83" s="339">
        <f t="shared" si="20"/>
        <v>56</v>
      </c>
      <c r="E83" s="234">
        <v>3.33</v>
      </c>
      <c r="F83" s="234">
        <v>5.0</v>
      </c>
      <c r="G83" s="236" t="str">
        <f t="shared" si="27"/>
        <v>33.4%</v>
      </c>
      <c r="H83" s="303">
        <v>7.0</v>
      </c>
      <c r="I83" s="339">
        <f t="shared" si="21"/>
        <v>56</v>
      </c>
      <c r="J83" s="303"/>
      <c r="K83" s="237">
        <f t="shared" si="28"/>
        <v>0</v>
      </c>
      <c r="L83" s="340">
        <f t="shared" si="29"/>
        <v>0</v>
      </c>
      <c r="M83" s="237">
        <f t="shared" si="30"/>
        <v>0</v>
      </c>
      <c r="N83" s="94">
        <f t="shared" si="39"/>
        <v>186.48</v>
      </c>
      <c r="O83" s="94">
        <f t="shared" si="40"/>
        <v>280</v>
      </c>
      <c r="P83" s="94">
        <f t="shared" si="41"/>
        <v>93.52</v>
      </c>
      <c r="Q83" s="342"/>
    </row>
    <row r="84" ht="15.75" customHeight="1">
      <c r="A84" s="343" t="s">
        <v>487</v>
      </c>
      <c r="B84" s="344"/>
      <c r="C84" s="344"/>
      <c r="D84" s="331">
        <f t="shared" si="20"/>
        <v>0</v>
      </c>
      <c r="E84" s="344"/>
      <c r="F84" s="344"/>
      <c r="G84" s="344" t="str">
        <f t="shared" si="27"/>
        <v>#DIV/0!</v>
      </c>
      <c r="H84" s="344"/>
      <c r="I84" s="331">
        <f t="shared" si="21"/>
        <v>0</v>
      </c>
      <c r="J84" s="344"/>
      <c r="K84" s="344">
        <f t="shared" si="28"/>
        <v>0</v>
      </c>
      <c r="L84" s="345">
        <f t="shared" si="29"/>
        <v>0</v>
      </c>
      <c r="M84" s="344">
        <f t="shared" si="30"/>
        <v>0</v>
      </c>
      <c r="N84" s="344">
        <f t="shared" ref="N84:P84" si="42">sum( N68:N83)</f>
        <v>2145.18</v>
      </c>
      <c r="O84" s="344">
        <f t="shared" si="42"/>
        <v>3326</v>
      </c>
      <c r="P84" s="344">
        <f t="shared" si="42"/>
        <v>1180.82</v>
      </c>
      <c r="Q84" s="346"/>
    </row>
    <row r="85" ht="15.75" customHeight="1">
      <c r="A85" s="233" t="s">
        <v>485</v>
      </c>
      <c r="B85" s="234">
        <v>3.0</v>
      </c>
      <c r="C85" s="234">
        <v>24.0</v>
      </c>
      <c r="D85" s="339">
        <f t="shared" si="20"/>
        <v>72</v>
      </c>
      <c r="E85" s="234">
        <v>1.79</v>
      </c>
      <c r="F85" s="234">
        <v>3.0</v>
      </c>
      <c r="G85" s="236" t="str">
        <f t="shared" si="27"/>
        <v>40.3333333333333%</v>
      </c>
      <c r="H85" s="303"/>
      <c r="I85" s="339">
        <f t="shared" si="21"/>
        <v>0</v>
      </c>
      <c r="J85" s="303">
        <v>0.0</v>
      </c>
      <c r="K85" s="237">
        <f t="shared" si="28"/>
        <v>0</v>
      </c>
      <c r="L85" s="340">
        <f t="shared" si="29"/>
        <v>3</v>
      </c>
      <c r="M85" s="237">
        <f t="shared" si="30"/>
        <v>72</v>
      </c>
      <c r="N85" s="94">
        <f t="shared" ref="N85:N103" si="43">(D85 + K85 - M85) * E85</f>
        <v>0</v>
      </c>
      <c r="O85" s="94">
        <f t="shared" ref="O85:O103" si="44">I85*F85</f>
        <v>0</v>
      </c>
      <c r="P85" s="94">
        <f t="shared" ref="P85:P103" si="45">O85-N85</f>
        <v>0</v>
      </c>
      <c r="Q85" s="239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 ht="15.75" customHeight="1">
      <c r="A86" s="146" t="s">
        <v>469</v>
      </c>
      <c r="B86" s="146">
        <v>4.0</v>
      </c>
      <c r="C86" s="146">
        <v>24.0</v>
      </c>
      <c r="D86" s="331">
        <f t="shared" si="20"/>
        <v>96</v>
      </c>
      <c r="E86" s="146">
        <v>1.12</v>
      </c>
      <c r="F86" s="146">
        <v>2.0</v>
      </c>
      <c r="G86" s="94" t="str">
        <f t="shared" si="27"/>
        <v>44.%</v>
      </c>
      <c r="H86" s="146"/>
      <c r="I86" s="331">
        <f t="shared" si="21"/>
        <v>0</v>
      </c>
      <c r="J86" s="146">
        <v>0.0</v>
      </c>
      <c r="K86" s="94">
        <f t="shared" si="28"/>
        <v>0</v>
      </c>
      <c r="L86" s="330">
        <f t="shared" si="29"/>
        <v>4</v>
      </c>
      <c r="M86" s="94">
        <f t="shared" si="30"/>
        <v>96</v>
      </c>
      <c r="N86" s="94">
        <f t="shared" si="43"/>
        <v>0</v>
      </c>
      <c r="O86" s="94">
        <f t="shared" si="44"/>
        <v>0</v>
      </c>
      <c r="P86" s="94">
        <f t="shared" si="45"/>
        <v>0</v>
      </c>
      <c r="Q86" s="93"/>
    </row>
    <row r="87" ht="15.75" customHeight="1">
      <c r="A87" s="146" t="s">
        <v>488</v>
      </c>
      <c r="B87" s="146">
        <v>1.0</v>
      </c>
      <c r="C87" s="146">
        <v>40.0</v>
      </c>
      <c r="D87" s="94">
        <f t="shared" si="20"/>
        <v>40</v>
      </c>
      <c r="E87" s="146">
        <v>3.12</v>
      </c>
      <c r="F87" s="146">
        <v>4.0</v>
      </c>
      <c r="G87" s="94" t="str">
        <f t="shared" si="27"/>
        <v>22.%</v>
      </c>
      <c r="H87" s="146"/>
      <c r="I87" s="94">
        <f t="shared" si="21"/>
        <v>0</v>
      </c>
      <c r="J87" s="146"/>
      <c r="K87" s="94">
        <f t="shared" si="28"/>
        <v>0</v>
      </c>
      <c r="L87" s="330">
        <f t="shared" si="29"/>
        <v>1</v>
      </c>
      <c r="M87" s="94">
        <f t="shared" si="30"/>
        <v>40</v>
      </c>
      <c r="N87" s="94">
        <f t="shared" si="43"/>
        <v>0</v>
      </c>
      <c r="O87" s="94">
        <f t="shared" si="44"/>
        <v>0</v>
      </c>
      <c r="P87" s="94">
        <f t="shared" si="45"/>
        <v>0</v>
      </c>
      <c r="Q87" s="93"/>
    </row>
    <row r="88" ht="15.75" customHeight="1">
      <c r="A88" s="146" t="s">
        <v>488</v>
      </c>
      <c r="B88" s="146">
        <v>1.0</v>
      </c>
      <c r="C88" s="146">
        <v>40.0</v>
      </c>
      <c r="D88" s="94">
        <f t="shared" si="20"/>
        <v>40</v>
      </c>
      <c r="E88" s="146">
        <v>4.12</v>
      </c>
      <c r="F88" s="146">
        <v>5.0</v>
      </c>
      <c r="G88" s="94" t="str">
        <f t="shared" si="27"/>
        <v>17.6%</v>
      </c>
      <c r="H88" s="146"/>
      <c r="I88" s="94">
        <f t="shared" si="21"/>
        <v>0</v>
      </c>
      <c r="J88" s="146"/>
      <c r="K88" s="94">
        <f t="shared" si="28"/>
        <v>0</v>
      </c>
      <c r="L88" s="330">
        <f t="shared" si="29"/>
        <v>1</v>
      </c>
      <c r="M88" s="94">
        <f t="shared" si="30"/>
        <v>40</v>
      </c>
      <c r="N88" s="94">
        <f t="shared" si="43"/>
        <v>0</v>
      </c>
      <c r="O88" s="94">
        <f t="shared" si="44"/>
        <v>0</v>
      </c>
      <c r="P88" s="94">
        <f t="shared" si="45"/>
        <v>0</v>
      </c>
      <c r="Q88" s="93"/>
    </row>
    <row r="89" ht="15.75" customHeight="1">
      <c r="A89" s="332" t="s">
        <v>472</v>
      </c>
      <c r="B89" s="214">
        <v>3.0</v>
      </c>
      <c r="C89" s="215">
        <v>12.0</v>
      </c>
      <c r="D89" s="333">
        <f t="shared" si="20"/>
        <v>36</v>
      </c>
      <c r="E89" s="215">
        <v>1.83</v>
      </c>
      <c r="F89" s="215">
        <v>3.0</v>
      </c>
      <c r="G89" s="217" t="str">
        <f t="shared" si="27"/>
        <v>39.%</v>
      </c>
      <c r="H89" s="215"/>
      <c r="I89" s="333">
        <f t="shared" si="21"/>
        <v>0</v>
      </c>
      <c r="J89" s="306"/>
      <c r="K89" s="221">
        <f t="shared" si="28"/>
        <v>0</v>
      </c>
      <c r="L89" s="334">
        <f t="shared" si="29"/>
        <v>3</v>
      </c>
      <c r="M89" s="221">
        <f t="shared" si="30"/>
        <v>36</v>
      </c>
      <c r="N89" s="221">
        <f t="shared" si="43"/>
        <v>0</v>
      </c>
      <c r="O89" s="221">
        <f t="shared" si="44"/>
        <v>0</v>
      </c>
      <c r="P89" s="221">
        <f t="shared" si="45"/>
        <v>0</v>
      </c>
      <c r="Q89" s="335"/>
    </row>
    <row r="90" ht="15.75" customHeight="1">
      <c r="A90" s="233" t="s">
        <v>481</v>
      </c>
      <c r="B90" s="234">
        <v>3.0</v>
      </c>
      <c r="C90" s="234">
        <v>24.0</v>
      </c>
      <c r="D90" s="339">
        <f t="shared" si="20"/>
        <v>72</v>
      </c>
      <c r="E90" s="234">
        <v>1.37</v>
      </c>
      <c r="F90" s="234">
        <v>2.0</v>
      </c>
      <c r="G90" s="236" t="str">
        <f t="shared" si="27"/>
        <v>31.5%</v>
      </c>
      <c r="H90" s="303"/>
      <c r="I90" s="339">
        <f t="shared" si="21"/>
        <v>0</v>
      </c>
      <c r="J90" s="303">
        <v>0.0</v>
      </c>
      <c r="K90" s="237">
        <f t="shared" si="28"/>
        <v>0</v>
      </c>
      <c r="L90" s="340">
        <f t="shared" si="29"/>
        <v>3</v>
      </c>
      <c r="M90" s="237">
        <f t="shared" si="30"/>
        <v>72</v>
      </c>
      <c r="N90" s="94">
        <f t="shared" si="43"/>
        <v>0</v>
      </c>
      <c r="O90" s="94">
        <f t="shared" si="44"/>
        <v>0</v>
      </c>
      <c r="P90" s="94">
        <f t="shared" si="45"/>
        <v>0</v>
      </c>
      <c r="Q90" s="239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 ht="15.75" customHeight="1">
      <c r="A91" s="233" t="s">
        <v>481</v>
      </c>
      <c r="B91" s="234">
        <v>2.0</v>
      </c>
      <c r="C91" s="234">
        <v>24.0</v>
      </c>
      <c r="D91" s="339">
        <f t="shared" si="20"/>
        <v>48</v>
      </c>
      <c r="E91" s="234">
        <v>1.75</v>
      </c>
      <c r="F91" s="234">
        <v>3.0</v>
      </c>
      <c r="G91" s="236" t="str">
        <f t="shared" si="27"/>
        <v>41.6666666666667%</v>
      </c>
      <c r="H91" s="303"/>
      <c r="I91" s="339">
        <f t="shared" si="21"/>
        <v>0</v>
      </c>
      <c r="J91" s="303">
        <v>0.0</v>
      </c>
      <c r="K91" s="237">
        <f t="shared" si="28"/>
        <v>0</v>
      </c>
      <c r="L91" s="340">
        <f t="shared" si="29"/>
        <v>2</v>
      </c>
      <c r="M91" s="237">
        <f t="shared" si="30"/>
        <v>48</v>
      </c>
      <c r="N91" s="94">
        <f t="shared" si="43"/>
        <v>0</v>
      </c>
      <c r="O91" s="94">
        <f t="shared" si="44"/>
        <v>0</v>
      </c>
      <c r="P91" s="94">
        <f t="shared" si="45"/>
        <v>0</v>
      </c>
      <c r="Q91" s="239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 ht="15.75" customHeight="1">
      <c r="A92" s="336" t="s">
        <v>476</v>
      </c>
      <c r="B92" s="224">
        <v>9.0</v>
      </c>
      <c r="C92" s="225">
        <v>14.0</v>
      </c>
      <c r="D92" s="337">
        <f t="shared" si="20"/>
        <v>126</v>
      </c>
      <c r="E92" s="225">
        <v>3.0</v>
      </c>
      <c r="F92" s="224">
        <v>5.0</v>
      </c>
      <c r="G92" s="228" t="str">
        <f t="shared" si="27"/>
        <v>40%</v>
      </c>
      <c r="H92" s="293"/>
      <c r="I92" s="337">
        <f t="shared" si="21"/>
        <v>0</v>
      </c>
      <c r="J92" s="293">
        <v>0.0</v>
      </c>
      <c r="K92" s="227">
        <f t="shared" si="28"/>
        <v>0</v>
      </c>
      <c r="L92" s="334">
        <f t="shared" si="29"/>
        <v>9</v>
      </c>
      <c r="M92" s="227">
        <f t="shared" si="30"/>
        <v>126</v>
      </c>
      <c r="N92" s="94">
        <f t="shared" si="43"/>
        <v>0</v>
      </c>
      <c r="O92" s="94">
        <f t="shared" si="44"/>
        <v>0</v>
      </c>
      <c r="P92" s="94">
        <f t="shared" si="45"/>
        <v>0</v>
      </c>
      <c r="Q92" s="338"/>
    </row>
    <row r="93" ht="15.75" customHeight="1">
      <c r="A93" s="336" t="s">
        <v>476</v>
      </c>
      <c r="B93" s="224">
        <v>1.0</v>
      </c>
      <c r="C93" s="225">
        <v>14.0</v>
      </c>
      <c r="D93" s="337">
        <f t="shared" si="20"/>
        <v>14</v>
      </c>
      <c r="E93" s="224">
        <v>3.5</v>
      </c>
      <c r="F93" s="224">
        <v>5.0</v>
      </c>
      <c r="G93" s="228" t="str">
        <f t="shared" si="27"/>
        <v>30%</v>
      </c>
      <c r="H93" s="293"/>
      <c r="I93" s="337">
        <f t="shared" si="21"/>
        <v>0</v>
      </c>
      <c r="J93" s="293">
        <v>0.0</v>
      </c>
      <c r="K93" s="227">
        <f t="shared" si="28"/>
        <v>0</v>
      </c>
      <c r="L93" s="334">
        <f t="shared" si="29"/>
        <v>1</v>
      </c>
      <c r="M93" s="227">
        <f t="shared" si="30"/>
        <v>14</v>
      </c>
      <c r="N93" s="94">
        <f t="shared" si="43"/>
        <v>0</v>
      </c>
      <c r="O93" s="94">
        <f t="shared" si="44"/>
        <v>0</v>
      </c>
      <c r="P93" s="94">
        <f t="shared" si="45"/>
        <v>0</v>
      </c>
      <c r="Q93" s="338"/>
    </row>
    <row r="94" ht="15.75" customHeight="1">
      <c r="A94" s="332" t="s">
        <v>478</v>
      </c>
      <c r="B94" s="214">
        <v>18.0</v>
      </c>
      <c r="C94" s="215">
        <v>12.0</v>
      </c>
      <c r="D94" s="333">
        <f t="shared" si="20"/>
        <v>216</v>
      </c>
      <c r="E94" s="215">
        <v>2.83</v>
      </c>
      <c r="F94" s="215">
        <v>5.0</v>
      </c>
      <c r="G94" s="217" t="str">
        <f t="shared" si="27"/>
        <v>43.4%</v>
      </c>
      <c r="H94" s="215"/>
      <c r="I94" s="333">
        <f t="shared" si="21"/>
        <v>0</v>
      </c>
      <c r="J94" s="214">
        <v>0.0</v>
      </c>
      <c r="K94" s="221">
        <f t="shared" si="28"/>
        <v>0</v>
      </c>
      <c r="L94" s="334">
        <f t="shared" si="29"/>
        <v>18</v>
      </c>
      <c r="M94" s="221">
        <f t="shared" si="30"/>
        <v>216</v>
      </c>
      <c r="N94" s="221">
        <f t="shared" si="43"/>
        <v>0</v>
      </c>
      <c r="O94" s="221">
        <f t="shared" si="44"/>
        <v>0</v>
      </c>
      <c r="P94" s="221">
        <f t="shared" si="45"/>
        <v>0</v>
      </c>
      <c r="Q94" s="335"/>
    </row>
    <row r="95" ht="15.75" customHeight="1">
      <c r="A95" s="146" t="s">
        <v>479</v>
      </c>
      <c r="B95" s="146">
        <v>3.0</v>
      </c>
      <c r="C95" s="146">
        <v>12.0</v>
      </c>
      <c r="D95" s="331">
        <f t="shared" si="20"/>
        <v>36</v>
      </c>
      <c r="E95" s="146">
        <v>4.42</v>
      </c>
      <c r="F95" s="146">
        <v>6.0</v>
      </c>
      <c r="G95" s="94" t="str">
        <f t="shared" si="27"/>
        <v>26.3333333333333%</v>
      </c>
      <c r="H95" s="146"/>
      <c r="I95" s="331">
        <f t="shared" si="21"/>
        <v>0</v>
      </c>
      <c r="J95" s="146">
        <v>0.0</v>
      </c>
      <c r="K95" s="94">
        <f t="shared" si="28"/>
        <v>0</v>
      </c>
      <c r="L95" s="330">
        <f t="shared" si="29"/>
        <v>3</v>
      </c>
      <c r="M95" s="94">
        <f t="shared" si="30"/>
        <v>36</v>
      </c>
      <c r="N95" s="94">
        <f t="shared" si="43"/>
        <v>0</v>
      </c>
      <c r="O95" s="94">
        <f t="shared" si="44"/>
        <v>0</v>
      </c>
      <c r="P95" s="94">
        <f t="shared" si="45"/>
        <v>0</v>
      </c>
      <c r="Q95" s="93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 ht="15.75" customHeight="1">
      <c r="A96" s="336" t="s">
        <v>480</v>
      </c>
      <c r="B96" s="224">
        <v>34.0</v>
      </c>
      <c r="C96" s="225">
        <v>24.0</v>
      </c>
      <c r="D96" s="337">
        <f t="shared" si="20"/>
        <v>816</v>
      </c>
      <c r="E96" s="225">
        <v>0.42</v>
      </c>
      <c r="F96" s="225">
        <v>1.0</v>
      </c>
      <c r="G96" s="228" t="str">
        <f t="shared" si="27"/>
        <v>58.%</v>
      </c>
      <c r="H96" s="225"/>
      <c r="I96" s="337">
        <f t="shared" si="21"/>
        <v>0</v>
      </c>
      <c r="J96" s="224">
        <v>0.0</v>
      </c>
      <c r="K96" s="227">
        <f t="shared" si="28"/>
        <v>0</v>
      </c>
      <c r="L96" s="334">
        <f t="shared" si="29"/>
        <v>34</v>
      </c>
      <c r="M96" s="227">
        <f t="shared" si="30"/>
        <v>816</v>
      </c>
      <c r="N96" s="227">
        <f t="shared" si="43"/>
        <v>0</v>
      </c>
      <c r="O96" s="227">
        <f t="shared" si="44"/>
        <v>0</v>
      </c>
      <c r="P96" s="227">
        <f t="shared" si="45"/>
        <v>0</v>
      </c>
      <c r="Q96" s="338"/>
    </row>
    <row r="97" ht="15.75" customHeight="1">
      <c r="A97" s="332" t="s">
        <v>473</v>
      </c>
      <c r="B97" s="214">
        <v>3.0</v>
      </c>
      <c r="C97" s="215">
        <v>30.0</v>
      </c>
      <c r="D97" s="333">
        <f t="shared" si="20"/>
        <v>90</v>
      </c>
      <c r="E97" s="214">
        <v>3.93</v>
      </c>
      <c r="F97" s="215">
        <v>5.0</v>
      </c>
      <c r="G97" s="217" t="str">
        <f t="shared" si="27"/>
        <v>21.4%</v>
      </c>
      <c r="H97" s="286"/>
      <c r="I97" s="333">
        <f t="shared" si="21"/>
        <v>0</v>
      </c>
      <c r="J97" s="286">
        <v>0.0</v>
      </c>
      <c r="K97" s="221">
        <f t="shared" si="28"/>
        <v>0</v>
      </c>
      <c r="L97" s="334">
        <f t="shared" si="29"/>
        <v>3</v>
      </c>
      <c r="M97" s="221">
        <f t="shared" si="30"/>
        <v>90</v>
      </c>
      <c r="N97" s="94">
        <f t="shared" si="43"/>
        <v>0</v>
      </c>
      <c r="O97" s="94">
        <f t="shared" si="44"/>
        <v>0</v>
      </c>
      <c r="P97" s="94">
        <f t="shared" si="45"/>
        <v>0</v>
      </c>
      <c r="Q97" s="335"/>
    </row>
    <row r="98" ht="15.75" customHeight="1">
      <c r="A98" s="332" t="s">
        <v>475</v>
      </c>
      <c r="B98" s="214">
        <v>1.0</v>
      </c>
      <c r="C98" s="215">
        <v>24.0</v>
      </c>
      <c r="D98" s="333">
        <f t="shared" si="20"/>
        <v>24</v>
      </c>
      <c r="E98" s="214">
        <v>3.2</v>
      </c>
      <c r="F98" s="215">
        <v>4.0</v>
      </c>
      <c r="G98" s="217" t="str">
        <f t="shared" si="27"/>
        <v>20.%</v>
      </c>
      <c r="H98" s="306"/>
      <c r="I98" s="333">
        <f t="shared" si="21"/>
        <v>0</v>
      </c>
      <c r="J98" s="215">
        <v>0.0</v>
      </c>
      <c r="K98" s="221">
        <f t="shared" si="28"/>
        <v>0</v>
      </c>
      <c r="L98" s="334">
        <f t="shared" si="29"/>
        <v>1</v>
      </c>
      <c r="M98" s="221">
        <f t="shared" si="30"/>
        <v>24</v>
      </c>
      <c r="N98" s="94">
        <f t="shared" si="43"/>
        <v>0</v>
      </c>
      <c r="O98" s="94">
        <f t="shared" si="44"/>
        <v>0</v>
      </c>
      <c r="P98" s="94">
        <f t="shared" si="45"/>
        <v>0</v>
      </c>
      <c r="Q98" s="335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 ht="15.75" customHeight="1">
      <c r="A99" s="332" t="s">
        <v>477</v>
      </c>
      <c r="B99" s="215">
        <v>1.0</v>
      </c>
      <c r="C99" s="215">
        <v>24.0</v>
      </c>
      <c r="D99" s="333">
        <f t="shared" si="20"/>
        <v>24</v>
      </c>
      <c r="E99" s="214">
        <v>2.58</v>
      </c>
      <c r="F99" s="214">
        <v>4.0</v>
      </c>
      <c r="G99" s="217" t="str">
        <f t="shared" si="27"/>
        <v>35.5%</v>
      </c>
      <c r="H99" s="286">
        <v>0.0</v>
      </c>
      <c r="I99" s="333">
        <f t="shared" si="21"/>
        <v>0</v>
      </c>
      <c r="J99" s="286">
        <v>0.0</v>
      </c>
      <c r="K99" s="221">
        <f t="shared" si="28"/>
        <v>0</v>
      </c>
      <c r="L99" s="334">
        <f t="shared" si="29"/>
        <v>1</v>
      </c>
      <c r="M99" s="221">
        <f t="shared" si="30"/>
        <v>24</v>
      </c>
      <c r="N99" s="94">
        <f t="shared" si="43"/>
        <v>0</v>
      </c>
      <c r="O99" s="94">
        <f t="shared" si="44"/>
        <v>0</v>
      </c>
      <c r="P99" s="94">
        <f t="shared" si="45"/>
        <v>0</v>
      </c>
      <c r="Q99" s="338"/>
    </row>
    <row r="100" ht="15.75" customHeight="1">
      <c r="A100" s="233" t="s">
        <v>489</v>
      </c>
      <c r="B100" s="234">
        <v>1.0</v>
      </c>
      <c r="C100" s="234">
        <v>20.0</v>
      </c>
      <c r="D100" s="237">
        <f t="shared" si="20"/>
        <v>20</v>
      </c>
      <c r="E100" s="234">
        <v>0.5</v>
      </c>
      <c r="F100" s="234">
        <v>1.0</v>
      </c>
      <c r="G100" s="236" t="str">
        <f t="shared" si="27"/>
        <v>50%</v>
      </c>
      <c r="H100" s="303"/>
      <c r="I100" s="237">
        <f t="shared" si="21"/>
        <v>0</v>
      </c>
      <c r="J100" s="303"/>
      <c r="K100" s="237">
        <f t="shared" si="28"/>
        <v>0</v>
      </c>
      <c r="L100" s="340">
        <f t="shared" si="29"/>
        <v>1</v>
      </c>
      <c r="M100" s="237">
        <f t="shared" si="30"/>
        <v>20</v>
      </c>
      <c r="N100" s="94">
        <f t="shared" si="43"/>
        <v>0</v>
      </c>
      <c r="O100" s="94">
        <f t="shared" si="44"/>
        <v>0</v>
      </c>
      <c r="P100" s="94">
        <f t="shared" si="45"/>
        <v>0</v>
      </c>
      <c r="Q100" s="342"/>
    </row>
    <row r="101" ht="15.75" customHeight="1">
      <c r="A101" s="336" t="s">
        <v>486</v>
      </c>
      <c r="B101" s="224">
        <v>6.0</v>
      </c>
      <c r="C101" s="224">
        <v>8.0</v>
      </c>
      <c r="D101" s="337">
        <f t="shared" si="20"/>
        <v>48</v>
      </c>
      <c r="E101" s="225">
        <v>3.33</v>
      </c>
      <c r="F101" s="225">
        <v>5.0</v>
      </c>
      <c r="G101" s="228" t="str">
        <f t="shared" si="27"/>
        <v>33.4%</v>
      </c>
      <c r="H101" s="347">
        <v>7.0</v>
      </c>
      <c r="I101" s="337">
        <f t="shared" si="21"/>
        <v>56</v>
      </c>
      <c r="J101" s="348"/>
      <c r="K101" s="227">
        <f t="shared" si="28"/>
        <v>0</v>
      </c>
      <c r="L101" s="227">
        <f t="shared" si="29"/>
        <v>-1</v>
      </c>
      <c r="M101" s="227">
        <f t="shared" si="30"/>
        <v>-8</v>
      </c>
      <c r="N101" s="227">
        <f t="shared" si="43"/>
        <v>186.48</v>
      </c>
      <c r="O101" s="227">
        <f t="shared" si="44"/>
        <v>280</v>
      </c>
      <c r="P101" s="227">
        <f t="shared" si="45"/>
        <v>93.52</v>
      </c>
      <c r="Q101" s="338"/>
    </row>
    <row r="102" ht="15.75" customHeight="1">
      <c r="A102" s="349" t="s">
        <v>490</v>
      </c>
      <c r="B102" s="350">
        <v>2.0</v>
      </c>
      <c r="C102" s="350">
        <v>25.0</v>
      </c>
      <c r="D102" s="351">
        <f t="shared" si="20"/>
        <v>50</v>
      </c>
      <c r="E102" s="350">
        <v>3.92</v>
      </c>
      <c r="F102" s="350">
        <v>5.0</v>
      </c>
      <c r="G102" s="352" t="str">
        <f t="shared" si="27"/>
        <v>21.6%</v>
      </c>
      <c r="H102" s="353">
        <v>1.0</v>
      </c>
      <c r="I102" s="351">
        <f t="shared" si="21"/>
        <v>25</v>
      </c>
      <c r="J102" s="354">
        <v>0.0</v>
      </c>
      <c r="K102" s="351">
        <f t="shared" si="28"/>
        <v>0</v>
      </c>
      <c r="L102" s="351">
        <f t="shared" si="29"/>
        <v>1</v>
      </c>
      <c r="M102" s="351">
        <f t="shared" si="30"/>
        <v>25</v>
      </c>
      <c r="N102" s="351">
        <f t="shared" si="43"/>
        <v>98</v>
      </c>
      <c r="O102" s="351">
        <f t="shared" si="44"/>
        <v>125</v>
      </c>
      <c r="P102" s="351">
        <f t="shared" si="45"/>
        <v>27</v>
      </c>
      <c r="Q102" s="342"/>
    </row>
    <row r="103" ht="15.75" customHeight="1">
      <c r="A103" s="349" t="s">
        <v>472</v>
      </c>
      <c r="B103" s="350">
        <v>2.0</v>
      </c>
      <c r="C103" s="350">
        <v>12.0</v>
      </c>
      <c r="D103" s="351">
        <f t="shared" si="20"/>
        <v>24</v>
      </c>
      <c r="E103" s="350">
        <v>1.83</v>
      </c>
      <c r="F103" s="350">
        <v>3.0</v>
      </c>
      <c r="G103" s="352" t="str">
        <f t="shared" si="27"/>
        <v>39.%</v>
      </c>
      <c r="H103" s="353"/>
      <c r="I103" s="351">
        <f t="shared" si="21"/>
        <v>0</v>
      </c>
      <c r="J103" s="354"/>
      <c r="K103" s="351">
        <f t="shared" si="28"/>
        <v>0</v>
      </c>
      <c r="L103" s="351">
        <f t="shared" si="29"/>
        <v>2</v>
      </c>
      <c r="M103" s="351">
        <f t="shared" si="30"/>
        <v>24</v>
      </c>
      <c r="N103" s="351">
        <f t="shared" si="43"/>
        <v>0</v>
      </c>
      <c r="O103" s="351">
        <f t="shared" si="44"/>
        <v>0</v>
      </c>
      <c r="P103" s="351">
        <f t="shared" si="45"/>
        <v>0</v>
      </c>
      <c r="Q103" s="342"/>
    </row>
    <row r="104" ht="15.75" customHeight="1">
      <c r="A104" s="307" t="s">
        <v>375</v>
      </c>
      <c r="B104" s="308"/>
      <c r="C104" s="308"/>
      <c r="D104" s="309">
        <f t="shared" si="20"/>
        <v>0</v>
      </c>
      <c r="E104" s="308"/>
      <c r="F104" s="308"/>
      <c r="G104" s="308"/>
      <c r="H104" s="308"/>
      <c r="I104" s="309">
        <f t="shared" si="21"/>
        <v>0</v>
      </c>
      <c r="J104" s="308"/>
      <c r="K104" s="310">
        <f>(C104*J104)</f>
        <v>0</v>
      </c>
      <c r="L104" s="311">
        <f>(B104+$J$14)-H104</f>
        <v>0</v>
      </c>
      <c r="M104" s="309">
        <f>(D104+K104)-I104</f>
        <v>0</v>
      </c>
      <c r="N104" s="312">
        <f t="shared" ref="N104:P104" si="46">SUM(N53+N67+N84)
</f>
        <v>4256.1</v>
      </c>
      <c r="O104" s="312">
        <f t="shared" si="46"/>
        <v>6721</v>
      </c>
      <c r="P104" s="312">
        <f t="shared" si="46"/>
        <v>2464.9</v>
      </c>
      <c r="Q104" s="313"/>
    </row>
    <row r="105" ht="15.75" customHeight="1">
      <c r="A105" s="146"/>
      <c r="B105" s="94"/>
      <c r="C105" s="94"/>
      <c r="D105" s="331">
        <f t="shared" si="20"/>
        <v>0</v>
      </c>
      <c r="E105" s="94"/>
      <c r="F105" s="94"/>
      <c r="G105" s="94" t="str">
        <f t="shared" ref="G105:G122" si="47">((F105-E105)/F105)*100 &amp; "%"</f>
        <v>#DIV/0!</v>
      </c>
      <c r="H105" s="94"/>
      <c r="I105" s="331">
        <f t="shared" si="21"/>
        <v>0</v>
      </c>
      <c r="J105" s="94"/>
      <c r="K105" s="94">
        <f t="shared" ref="K105:K122" si="48">(J105*C105)</f>
        <v>0</v>
      </c>
      <c r="L105" s="355">
        <f t="shared" ref="L105:L122" si="49">(B105+J105-H105)</f>
        <v>0</v>
      </c>
      <c r="M105" s="94">
        <f t="shared" ref="M105:M122" si="50">(D105+K105-I105)</f>
        <v>0</v>
      </c>
      <c r="N105" s="94"/>
      <c r="O105" s="94"/>
      <c r="P105" s="94"/>
      <c r="Q105" s="93"/>
    </row>
    <row r="106" ht="15.75" customHeight="1">
      <c r="A106" s="146"/>
      <c r="B106" s="94"/>
      <c r="C106" s="94"/>
      <c r="D106" s="331">
        <f t="shared" si="20"/>
        <v>0</v>
      </c>
      <c r="E106" s="94"/>
      <c r="F106" s="94"/>
      <c r="G106" s="94" t="str">
        <f t="shared" si="47"/>
        <v>#DIV/0!</v>
      </c>
      <c r="H106" s="94"/>
      <c r="I106" s="331">
        <f t="shared" si="21"/>
        <v>0</v>
      </c>
      <c r="J106" s="94"/>
      <c r="K106" s="94">
        <f t="shared" si="48"/>
        <v>0</v>
      </c>
      <c r="L106" s="355">
        <f t="shared" si="49"/>
        <v>0</v>
      </c>
      <c r="M106" s="94">
        <f t="shared" si="50"/>
        <v>0</v>
      </c>
      <c r="N106" s="94"/>
      <c r="O106" s="94"/>
      <c r="P106" s="94"/>
      <c r="Q106" s="93"/>
    </row>
    <row r="107" ht="15.75" customHeight="1">
      <c r="A107" s="146"/>
      <c r="B107" s="94"/>
      <c r="C107" s="94"/>
      <c r="D107" s="331">
        <f t="shared" si="20"/>
        <v>0</v>
      </c>
      <c r="E107" s="94"/>
      <c r="F107" s="94"/>
      <c r="G107" s="94" t="str">
        <f t="shared" si="47"/>
        <v>#DIV/0!</v>
      </c>
      <c r="H107" s="94"/>
      <c r="I107" s="331">
        <f t="shared" si="21"/>
        <v>0</v>
      </c>
      <c r="J107" s="94"/>
      <c r="K107" s="94">
        <f t="shared" si="48"/>
        <v>0</v>
      </c>
      <c r="L107" s="355">
        <f t="shared" si="49"/>
        <v>0</v>
      </c>
      <c r="M107" s="94">
        <f t="shared" si="50"/>
        <v>0</v>
      </c>
      <c r="N107" s="94"/>
      <c r="O107" s="94"/>
      <c r="P107" s="94"/>
      <c r="Q107" s="93"/>
    </row>
    <row r="108" ht="15.75" customHeight="1">
      <c r="A108" s="146"/>
      <c r="B108" s="94"/>
      <c r="C108" s="94"/>
      <c r="D108" s="331">
        <f t="shared" si="20"/>
        <v>0</v>
      </c>
      <c r="E108" s="94"/>
      <c r="F108" s="94"/>
      <c r="G108" s="94" t="str">
        <f t="shared" si="47"/>
        <v>#DIV/0!</v>
      </c>
      <c r="H108" s="94"/>
      <c r="I108" s="331">
        <f t="shared" si="21"/>
        <v>0</v>
      </c>
      <c r="J108" s="94"/>
      <c r="K108" s="94">
        <f t="shared" si="48"/>
        <v>0</v>
      </c>
      <c r="L108" s="355">
        <f t="shared" si="49"/>
        <v>0</v>
      </c>
      <c r="M108" s="94">
        <f t="shared" si="50"/>
        <v>0</v>
      </c>
      <c r="N108" s="94"/>
      <c r="O108" s="94"/>
      <c r="P108" s="94"/>
      <c r="Q108" s="93"/>
    </row>
    <row r="109" ht="15.75" customHeight="1">
      <c r="A109" s="146"/>
      <c r="B109" s="94"/>
      <c r="C109" s="94"/>
      <c r="D109" s="331">
        <f t="shared" si="20"/>
        <v>0</v>
      </c>
      <c r="E109" s="94"/>
      <c r="F109" s="94"/>
      <c r="G109" s="94" t="str">
        <f t="shared" si="47"/>
        <v>#DIV/0!</v>
      </c>
      <c r="H109" s="94"/>
      <c r="I109" s="331">
        <f t="shared" si="21"/>
        <v>0</v>
      </c>
      <c r="J109" s="94"/>
      <c r="K109" s="94">
        <f t="shared" si="48"/>
        <v>0</v>
      </c>
      <c r="L109" s="355">
        <f t="shared" si="49"/>
        <v>0</v>
      </c>
      <c r="M109" s="94">
        <f t="shared" si="50"/>
        <v>0</v>
      </c>
      <c r="N109" s="94"/>
      <c r="O109" s="94"/>
      <c r="P109" s="94"/>
      <c r="Q109" s="93"/>
    </row>
    <row r="110" ht="15.75" customHeight="1">
      <c r="A110" s="146"/>
      <c r="B110" s="94"/>
      <c r="C110" s="94"/>
      <c r="D110" s="331">
        <f t="shared" si="20"/>
        <v>0</v>
      </c>
      <c r="E110" s="94"/>
      <c r="F110" s="94"/>
      <c r="G110" s="94" t="str">
        <f t="shared" si="47"/>
        <v>#DIV/0!</v>
      </c>
      <c r="H110" s="94"/>
      <c r="I110" s="331">
        <f t="shared" si="21"/>
        <v>0</v>
      </c>
      <c r="J110" s="94"/>
      <c r="K110" s="94">
        <f t="shared" si="48"/>
        <v>0</v>
      </c>
      <c r="L110" s="355">
        <f t="shared" si="49"/>
        <v>0</v>
      </c>
      <c r="M110" s="94">
        <f t="shared" si="50"/>
        <v>0</v>
      </c>
      <c r="N110" s="94"/>
      <c r="O110" s="94"/>
      <c r="P110" s="94"/>
      <c r="Q110" s="93"/>
    </row>
    <row r="111" ht="15.75" customHeight="1">
      <c r="A111" s="146"/>
      <c r="B111" s="94"/>
      <c r="C111" s="94"/>
      <c r="D111" s="331">
        <f t="shared" si="20"/>
        <v>0</v>
      </c>
      <c r="E111" s="94"/>
      <c r="F111" s="94"/>
      <c r="G111" s="94" t="str">
        <f t="shared" si="47"/>
        <v>#DIV/0!</v>
      </c>
      <c r="H111" s="94"/>
      <c r="I111" s="331">
        <f t="shared" si="21"/>
        <v>0</v>
      </c>
      <c r="J111" s="94"/>
      <c r="K111" s="94">
        <f t="shared" si="48"/>
        <v>0</v>
      </c>
      <c r="L111" s="355">
        <f t="shared" si="49"/>
        <v>0</v>
      </c>
      <c r="M111" s="94">
        <f t="shared" si="50"/>
        <v>0</v>
      </c>
      <c r="N111" s="94"/>
      <c r="O111" s="94"/>
      <c r="P111" s="94"/>
      <c r="Q111" s="93"/>
    </row>
    <row r="112" ht="15.75" customHeight="1">
      <c r="A112" s="146"/>
      <c r="B112" s="94"/>
      <c r="C112" s="94"/>
      <c r="D112" s="331">
        <f t="shared" si="20"/>
        <v>0</v>
      </c>
      <c r="E112" s="94"/>
      <c r="F112" s="94"/>
      <c r="G112" s="94" t="str">
        <f t="shared" si="47"/>
        <v>#DIV/0!</v>
      </c>
      <c r="H112" s="94"/>
      <c r="I112" s="331">
        <f t="shared" si="21"/>
        <v>0</v>
      </c>
      <c r="J112" s="94"/>
      <c r="K112" s="94">
        <f t="shared" si="48"/>
        <v>0</v>
      </c>
      <c r="L112" s="355">
        <f t="shared" si="49"/>
        <v>0</v>
      </c>
      <c r="M112" s="94">
        <f t="shared" si="50"/>
        <v>0</v>
      </c>
      <c r="N112" s="94"/>
      <c r="O112" s="94"/>
      <c r="P112" s="94"/>
      <c r="Q112" s="93"/>
    </row>
    <row r="113" ht="15.75" customHeight="1">
      <c r="A113" s="146"/>
      <c r="B113" s="94"/>
      <c r="C113" s="94"/>
      <c r="D113" s="331">
        <f t="shared" si="20"/>
        <v>0</v>
      </c>
      <c r="E113" s="94"/>
      <c r="F113" s="94"/>
      <c r="G113" s="94" t="str">
        <f t="shared" si="47"/>
        <v>#DIV/0!</v>
      </c>
      <c r="H113" s="94"/>
      <c r="I113" s="331">
        <f t="shared" si="21"/>
        <v>0</v>
      </c>
      <c r="J113" s="94"/>
      <c r="K113" s="94">
        <f t="shared" si="48"/>
        <v>0</v>
      </c>
      <c r="L113" s="355">
        <f t="shared" si="49"/>
        <v>0</v>
      </c>
      <c r="M113" s="94">
        <f t="shared" si="50"/>
        <v>0</v>
      </c>
      <c r="N113" s="94"/>
      <c r="O113" s="94"/>
      <c r="P113" s="94"/>
      <c r="Q113" s="93"/>
    </row>
    <row r="114" ht="15.75" customHeight="1">
      <c r="A114" s="146"/>
      <c r="B114" s="94"/>
      <c r="C114" s="94"/>
      <c r="D114" s="331">
        <f t="shared" si="20"/>
        <v>0</v>
      </c>
      <c r="E114" s="94"/>
      <c r="F114" s="94"/>
      <c r="G114" s="94" t="str">
        <f t="shared" si="47"/>
        <v>#DIV/0!</v>
      </c>
      <c r="H114" s="94"/>
      <c r="I114" s="331">
        <f t="shared" si="21"/>
        <v>0</v>
      </c>
      <c r="J114" s="94"/>
      <c r="K114" s="94">
        <f t="shared" si="48"/>
        <v>0</v>
      </c>
      <c r="L114" s="355">
        <f t="shared" si="49"/>
        <v>0</v>
      </c>
      <c r="M114" s="94">
        <f t="shared" si="50"/>
        <v>0</v>
      </c>
      <c r="N114" s="94"/>
      <c r="O114" s="94"/>
      <c r="P114" s="94"/>
      <c r="Q114" s="93"/>
    </row>
    <row r="115" ht="15.75" customHeight="1">
      <c r="A115" s="146"/>
      <c r="B115" s="94"/>
      <c r="C115" s="94"/>
      <c r="D115" s="331">
        <f t="shared" si="20"/>
        <v>0</v>
      </c>
      <c r="E115" s="94"/>
      <c r="F115" s="94"/>
      <c r="G115" s="94" t="str">
        <f t="shared" si="47"/>
        <v>#DIV/0!</v>
      </c>
      <c r="H115" s="94"/>
      <c r="I115" s="331">
        <f t="shared" si="21"/>
        <v>0</v>
      </c>
      <c r="J115" s="94"/>
      <c r="K115" s="94">
        <f t="shared" si="48"/>
        <v>0</v>
      </c>
      <c r="L115" s="355">
        <f t="shared" si="49"/>
        <v>0</v>
      </c>
      <c r="M115" s="94">
        <f t="shared" si="50"/>
        <v>0</v>
      </c>
      <c r="N115" s="94"/>
      <c r="O115" s="94"/>
      <c r="P115" s="94"/>
      <c r="Q115" s="93"/>
    </row>
    <row r="116" ht="15.75" customHeight="1">
      <c r="A116" s="146"/>
      <c r="B116" s="94"/>
      <c r="C116" s="94"/>
      <c r="D116" s="331">
        <f t="shared" si="20"/>
        <v>0</v>
      </c>
      <c r="E116" s="94"/>
      <c r="F116" s="94"/>
      <c r="G116" s="94" t="str">
        <f t="shared" si="47"/>
        <v>#DIV/0!</v>
      </c>
      <c r="H116" s="94"/>
      <c r="I116" s="94"/>
      <c r="J116" s="94"/>
      <c r="K116" s="94">
        <f t="shared" si="48"/>
        <v>0</v>
      </c>
      <c r="L116" s="355">
        <f t="shared" si="49"/>
        <v>0</v>
      </c>
      <c r="M116" s="94">
        <f t="shared" si="50"/>
        <v>0</v>
      </c>
      <c r="N116" s="94"/>
      <c r="O116" s="94"/>
      <c r="P116" s="94"/>
      <c r="Q116" s="93"/>
    </row>
    <row r="117" ht="15.75" customHeight="1">
      <c r="A117" s="146"/>
      <c r="B117" s="94"/>
      <c r="C117" s="94"/>
      <c r="D117" s="331">
        <f t="shared" si="20"/>
        <v>0</v>
      </c>
      <c r="E117" s="94"/>
      <c r="F117" s="94"/>
      <c r="G117" s="94" t="str">
        <f t="shared" si="47"/>
        <v>#DIV/0!</v>
      </c>
      <c r="H117" s="94"/>
      <c r="I117" s="94"/>
      <c r="J117" s="94"/>
      <c r="K117" s="94">
        <f t="shared" si="48"/>
        <v>0</v>
      </c>
      <c r="L117" s="355">
        <f t="shared" si="49"/>
        <v>0</v>
      </c>
      <c r="M117" s="94">
        <f t="shared" si="50"/>
        <v>0</v>
      </c>
      <c r="N117" s="94"/>
      <c r="O117" s="94"/>
      <c r="P117" s="94"/>
      <c r="Q117" s="93"/>
    </row>
    <row r="118" ht="15.75" customHeight="1">
      <c r="A118" s="146"/>
      <c r="B118" s="94"/>
      <c r="C118" s="94"/>
      <c r="D118" s="331">
        <f t="shared" si="20"/>
        <v>0</v>
      </c>
      <c r="E118" s="94"/>
      <c r="F118" s="94"/>
      <c r="G118" s="94" t="str">
        <f t="shared" si="47"/>
        <v>#DIV/0!</v>
      </c>
      <c r="H118" s="94"/>
      <c r="I118" s="94"/>
      <c r="J118" s="94"/>
      <c r="K118" s="94">
        <f t="shared" si="48"/>
        <v>0</v>
      </c>
      <c r="L118" s="355">
        <f t="shared" si="49"/>
        <v>0</v>
      </c>
      <c r="M118" s="94">
        <f t="shared" si="50"/>
        <v>0</v>
      </c>
      <c r="N118" s="94"/>
      <c r="O118" s="94"/>
      <c r="P118" s="94"/>
      <c r="Q118" s="93"/>
    </row>
    <row r="119" ht="15.75" customHeight="1">
      <c r="A119" s="146"/>
      <c r="B119" s="94"/>
      <c r="C119" s="94"/>
      <c r="D119" s="331">
        <f t="shared" si="20"/>
        <v>0</v>
      </c>
      <c r="E119" s="94"/>
      <c r="F119" s="94"/>
      <c r="G119" s="94" t="str">
        <f t="shared" si="47"/>
        <v>#DIV/0!</v>
      </c>
      <c r="H119" s="94"/>
      <c r="I119" s="94"/>
      <c r="J119" s="94"/>
      <c r="K119" s="94">
        <f t="shared" si="48"/>
        <v>0</v>
      </c>
      <c r="L119" s="355">
        <f t="shared" si="49"/>
        <v>0</v>
      </c>
      <c r="M119" s="94">
        <f t="shared" si="50"/>
        <v>0</v>
      </c>
      <c r="N119" s="94"/>
      <c r="O119" s="94"/>
      <c r="P119" s="94"/>
      <c r="Q119" s="93"/>
    </row>
    <row r="120" ht="15.75" customHeight="1">
      <c r="A120" s="146"/>
      <c r="B120" s="94"/>
      <c r="C120" s="94"/>
      <c r="D120" s="331">
        <f t="shared" si="20"/>
        <v>0</v>
      </c>
      <c r="E120" s="94"/>
      <c r="F120" s="94"/>
      <c r="G120" s="94" t="str">
        <f t="shared" si="47"/>
        <v>#DIV/0!</v>
      </c>
      <c r="H120" s="94"/>
      <c r="I120" s="94"/>
      <c r="J120" s="94"/>
      <c r="K120" s="94">
        <f t="shared" si="48"/>
        <v>0</v>
      </c>
      <c r="L120" s="355">
        <f t="shared" si="49"/>
        <v>0</v>
      </c>
      <c r="M120" s="94">
        <f t="shared" si="50"/>
        <v>0</v>
      </c>
      <c r="N120" s="94"/>
      <c r="O120" s="94"/>
      <c r="P120" s="94"/>
      <c r="Q120" s="93"/>
    </row>
    <row r="121" ht="15.75" customHeight="1">
      <c r="A121" s="146"/>
      <c r="B121" s="94"/>
      <c r="C121" s="94"/>
      <c r="D121" s="331">
        <f t="shared" si="20"/>
        <v>0</v>
      </c>
      <c r="E121" s="94"/>
      <c r="F121" s="94"/>
      <c r="G121" s="94" t="str">
        <f t="shared" si="47"/>
        <v>#DIV/0!</v>
      </c>
      <c r="H121" s="94"/>
      <c r="I121" s="94"/>
      <c r="J121" s="94"/>
      <c r="K121" s="94">
        <f t="shared" si="48"/>
        <v>0</v>
      </c>
      <c r="L121" s="355">
        <f t="shared" si="49"/>
        <v>0</v>
      </c>
      <c r="M121" s="94">
        <f t="shared" si="50"/>
        <v>0</v>
      </c>
      <c r="N121" s="94"/>
      <c r="O121" s="94"/>
      <c r="P121" s="94"/>
      <c r="Q121" s="93"/>
    </row>
    <row r="122" ht="15.75" customHeight="1">
      <c r="A122" s="146"/>
      <c r="B122" s="94"/>
      <c r="C122" s="94"/>
      <c r="D122" s="331">
        <f t="shared" si="20"/>
        <v>0</v>
      </c>
      <c r="E122" s="94"/>
      <c r="F122" s="94"/>
      <c r="G122" s="94" t="str">
        <f t="shared" si="47"/>
        <v>#DIV/0!</v>
      </c>
      <c r="H122" s="94"/>
      <c r="I122" s="94"/>
      <c r="J122" s="94"/>
      <c r="K122" s="94">
        <f t="shared" si="48"/>
        <v>0</v>
      </c>
      <c r="L122" s="355">
        <f t="shared" si="49"/>
        <v>0</v>
      </c>
      <c r="M122" s="94">
        <f t="shared" si="50"/>
        <v>0</v>
      </c>
      <c r="N122" s="94"/>
      <c r="O122" s="94"/>
      <c r="P122" s="94"/>
      <c r="Q122" s="93"/>
    </row>
    <row r="123" ht="15.75" customHeight="1">
      <c r="K123" s="356"/>
    </row>
    <row r="124" ht="15.75" customHeight="1">
      <c r="K124" s="356"/>
    </row>
    <row r="125" ht="15.75" customHeight="1">
      <c r="K125" s="356"/>
    </row>
    <row r="126" ht="15.75" customHeight="1">
      <c r="K126" s="356"/>
    </row>
    <row r="127" ht="15.75" customHeight="1">
      <c r="K127" s="356"/>
    </row>
    <row r="128" ht="15.75" customHeight="1">
      <c r="K128" s="356"/>
    </row>
    <row r="129" ht="15.75" customHeight="1">
      <c r="K129" s="356"/>
    </row>
    <row r="130" ht="15.75" customHeight="1">
      <c r="K130" s="356"/>
    </row>
    <row r="131" ht="15.75" customHeight="1">
      <c r="K131" s="356"/>
    </row>
    <row r="132" ht="15.75" customHeight="1">
      <c r="K132" s="356"/>
    </row>
    <row r="133" ht="15.75" customHeight="1">
      <c r="K133" s="356"/>
    </row>
    <row r="134" ht="15.75" customHeight="1">
      <c r="K134" s="356"/>
    </row>
    <row r="135" ht="15.75" customHeight="1">
      <c r="K135" s="356"/>
    </row>
    <row r="136" ht="15.75" customHeight="1">
      <c r="K136" s="356"/>
    </row>
    <row r="137" ht="15.75" customHeight="1">
      <c r="K137" s="356"/>
    </row>
    <row r="138" ht="15.75" customHeight="1">
      <c r="K138" s="356"/>
    </row>
    <row r="139" ht="15.75" customHeight="1">
      <c r="K139" s="356"/>
    </row>
    <row r="140" ht="15.75" customHeight="1">
      <c r="K140" s="356"/>
    </row>
    <row r="141" ht="15.75" customHeight="1">
      <c r="K141" s="356"/>
    </row>
    <row r="142" ht="15.75" customHeight="1">
      <c r="K142" s="356"/>
    </row>
    <row r="143" ht="15.75" customHeight="1">
      <c r="K143" s="356"/>
    </row>
    <row r="144" ht="15.75" customHeight="1">
      <c r="K144" s="356"/>
    </row>
    <row r="145" ht="15.75" customHeight="1">
      <c r="K145" s="356"/>
    </row>
    <row r="146" ht="15.75" customHeight="1">
      <c r="K146" s="356"/>
    </row>
    <row r="147" ht="15.75" customHeight="1">
      <c r="K147" s="356"/>
    </row>
    <row r="148" ht="15.75" customHeight="1">
      <c r="K148" s="356"/>
    </row>
    <row r="149" ht="15.75" customHeight="1">
      <c r="K149" s="356"/>
    </row>
    <row r="150" ht="15.75" customHeight="1">
      <c r="K150" s="356"/>
    </row>
    <row r="151" ht="15.75" customHeight="1">
      <c r="K151" s="356"/>
    </row>
    <row r="152" ht="15.75" customHeight="1">
      <c r="K152" s="356"/>
    </row>
    <row r="153" ht="15.75" customHeight="1">
      <c r="K153" s="356"/>
    </row>
    <row r="154" ht="15.75" customHeight="1">
      <c r="K154" s="356"/>
    </row>
    <row r="155" ht="15.75" customHeight="1">
      <c r="K155" s="356"/>
    </row>
    <row r="156" ht="15.75" customHeight="1">
      <c r="K156" s="356"/>
    </row>
    <row r="157" ht="15.75" customHeight="1">
      <c r="K157" s="356"/>
    </row>
    <row r="158" ht="15.75" customHeight="1">
      <c r="K158" s="356"/>
    </row>
    <row r="159" ht="15.75" customHeight="1">
      <c r="K159" s="356"/>
    </row>
    <row r="160" ht="15.75" customHeight="1">
      <c r="K160" s="356"/>
    </row>
    <row r="161" ht="15.75" customHeight="1">
      <c r="K161" s="356"/>
    </row>
    <row r="162" ht="15.75" customHeight="1">
      <c r="K162" s="356"/>
    </row>
    <row r="163" ht="15.75" customHeight="1">
      <c r="K163" s="356"/>
    </row>
    <row r="164" ht="15.75" customHeight="1">
      <c r="K164" s="356"/>
    </row>
    <row r="165" ht="15.75" customHeight="1">
      <c r="K165" s="356"/>
    </row>
    <row r="166" ht="15.75" customHeight="1">
      <c r="K166" s="356"/>
    </row>
    <row r="167" ht="15.75" customHeight="1">
      <c r="K167" s="356"/>
    </row>
    <row r="168" ht="15.75" customHeight="1">
      <c r="K168" s="356"/>
    </row>
    <row r="169" ht="15.75" customHeight="1">
      <c r="K169" s="356"/>
    </row>
    <row r="170" ht="15.75" customHeight="1">
      <c r="K170" s="356"/>
    </row>
    <row r="171" ht="15.75" customHeight="1">
      <c r="K171" s="356"/>
    </row>
    <row r="172" ht="15.75" customHeight="1">
      <c r="K172" s="356"/>
    </row>
    <row r="173" ht="15.75" customHeight="1">
      <c r="K173" s="356"/>
    </row>
    <row r="174" ht="15.75" customHeight="1">
      <c r="K174" s="356"/>
    </row>
    <row r="175" ht="15.75" customHeight="1">
      <c r="K175" s="356"/>
    </row>
    <row r="176" ht="15.75" customHeight="1">
      <c r="K176" s="356"/>
    </row>
    <row r="177" ht="15.75" customHeight="1">
      <c r="K177" s="356"/>
    </row>
    <row r="178" ht="15.75" customHeight="1">
      <c r="K178" s="356"/>
    </row>
    <row r="179" ht="15.75" customHeight="1">
      <c r="K179" s="356"/>
    </row>
    <row r="180" ht="15.75" customHeight="1">
      <c r="K180" s="356"/>
    </row>
    <row r="181" ht="15.75" customHeight="1">
      <c r="K181" s="356"/>
    </row>
    <row r="182" ht="15.75" customHeight="1">
      <c r="K182" s="356"/>
    </row>
    <row r="183" ht="15.75" customHeight="1">
      <c r="K183" s="356"/>
    </row>
    <row r="184" ht="15.75" customHeight="1">
      <c r="K184" s="356"/>
    </row>
    <row r="185" ht="15.75" customHeight="1">
      <c r="K185" s="356"/>
    </row>
    <row r="186" ht="15.75" customHeight="1">
      <c r="K186" s="356"/>
    </row>
    <row r="187" ht="15.75" customHeight="1">
      <c r="K187" s="356"/>
    </row>
    <row r="188" ht="15.75" customHeight="1">
      <c r="K188" s="356"/>
    </row>
    <row r="189" ht="15.75" customHeight="1">
      <c r="K189" s="356"/>
    </row>
    <row r="190" ht="15.75" customHeight="1">
      <c r="K190" s="356"/>
    </row>
    <row r="191" ht="15.75" customHeight="1">
      <c r="K191" s="356"/>
    </row>
    <row r="192" ht="15.75" customHeight="1">
      <c r="K192" s="356"/>
    </row>
    <row r="193" ht="15.75" customHeight="1">
      <c r="K193" s="356"/>
    </row>
    <row r="194" ht="15.75" customHeight="1">
      <c r="K194" s="356"/>
    </row>
    <row r="195" ht="15.75" customHeight="1">
      <c r="K195" s="356"/>
    </row>
    <row r="196" ht="15.75" customHeight="1">
      <c r="K196" s="356"/>
    </row>
    <row r="197" ht="15.75" customHeight="1">
      <c r="K197" s="356"/>
    </row>
    <row r="198" ht="15.75" customHeight="1">
      <c r="K198" s="356"/>
    </row>
    <row r="199" ht="15.75" customHeight="1">
      <c r="K199" s="356"/>
    </row>
    <row r="200" ht="15.75" customHeight="1">
      <c r="K200" s="356"/>
    </row>
    <row r="201" ht="15.75" customHeight="1">
      <c r="K201" s="356"/>
    </row>
    <row r="202" ht="15.75" customHeight="1">
      <c r="K202" s="356"/>
    </row>
    <row r="203" ht="15.75" customHeight="1">
      <c r="K203" s="356"/>
    </row>
    <row r="204" ht="15.75" customHeight="1">
      <c r="K204" s="356"/>
    </row>
    <row r="205" ht="15.75" customHeight="1">
      <c r="K205" s="356"/>
    </row>
    <row r="206" ht="15.75" customHeight="1">
      <c r="K206" s="356"/>
    </row>
    <row r="207" ht="15.75" customHeight="1">
      <c r="K207" s="356"/>
    </row>
    <row r="208" ht="15.75" customHeight="1">
      <c r="K208" s="356"/>
    </row>
    <row r="209" ht="15.75" customHeight="1">
      <c r="K209" s="356"/>
    </row>
    <row r="210" ht="15.75" customHeight="1">
      <c r="K210" s="356"/>
    </row>
    <row r="211" ht="15.75" customHeight="1">
      <c r="K211" s="356"/>
    </row>
    <row r="212" ht="15.75" customHeight="1">
      <c r="K212" s="356"/>
    </row>
    <row r="213" ht="15.75" customHeight="1">
      <c r="K213" s="356"/>
    </row>
    <row r="214" ht="15.75" customHeight="1">
      <c r="K214" s="356"/>
    </row>
    <row r="215" ht="15.75" customHeight="1">
      <c r="K215" s="356"/>
    </row>
    <row r="216" ht="15.75" customHeight="1">
      <c r="K216" s="356"/>
    </row>
    <row r="217" ht="15.75" customHeight="1">
      <c r="K217" s="356"/>
    </row>
    <row r="218" ht="15.75" customHeight="1">
      <c r="K218" s="356"/>
    </row>
    <row r="219" ht="15.75" customHeight="1">
      <c r="K219" s="356"/>
    </row>
    <row r="220" ht="15.75" customHeight="1">
      <c r="K220" s="356"/>
    </row>
    <row r="221" ht="15.75" customHeight="1">
      <c r="K221" s="356"/>
    </row>
    <row r="222" ht="15.75" customHeight="1">
      <c r="K222" s="356"/>
    </row>
    <row r="223" ht="15.75" customHeight="1">
      <c r="K223" s="356"/>
    </row>
    <row r="224" ht="15.75" customHeight="1">
      <c r="K224" s="356"/>
    </row>
    <row r="225" ht="15.75" customHeight="1">
      <c r="K225" s="356"/>
    </row>
    <row r="226" ht="15.75" customHeight="1">
      <c r="K226" s="356"/>
    </row>
    <row r="227" ht="15.75" customHeight="1">
      <c r="K227" s="356"/>
    </row>
    <row r="228" ht="15.75" customHeight="1">
      <c r="K228" s="356"/>
    </row>
    <row r="229" ht="15.75" customHeight="1">
      <c r="K229" s="356"/>
    </row>
    <row r="230" ht="15.75" customHeight="1">
      <c r="K230" s="356"/>
    </row>
    <row r="231" ht="15.75" customHeight="1">
      <c r="K231" s="356"/>
    </row>
    <row r="232" ht="15.75" customHeight="1">
      <c r="K232" s="356"/>
    </row>
    <row r="233" ht="15.75" customHeight="1">
      <c r="K233" s="356"/>
    </row>
    <row r="234" ht="15.75" customHeight="1">
      <c r="K234" s="356"/>
    </row>
    <row r="235" ht="15.75" customHeight="1">
      <c r="K235" s="356"/>
    </row>
    <row r="236" ht="15.75" customHeight="1">
      <c r="K236" s="356"/>
    </row>
    <row r="237" ht="15.75" customHeight="1">
      <c r="K237" s="356"/>
    </row>
    <row r="238" ht="15.75" customHeight="1">
      <c r="K238" s="356"/>
    </row>
    <row r="239" ht="15.75" customHeight="1">
      <c r="K239" s="356"/>
    </row>
    <row r="240" ht="15.75" customHeight="1">
      <c r="K240" s="356"/>
    </row>
    <row r="241" ht="15.75" customHeight="1">
      <c r="K241" s="356"/>
    </row>
    <row r="242" ht="15.75" customHeight="1">
      <c r="K242" s="356"/>
    </row>
    <row r="243" ht="15.75" customHeight="1">
      <c r="K243" s="356"/>
    </row>
    <row r="244" ht="15.75" customHeight="1">
      <c r="K244" s="356"/>
    </row>
    <row r="245" ht="15.75" customHeight="1">
      <c r="K245" s="356"/>
    </row>
    <row r="246" ht="15.75" customHeight="1">
      <c r="K246" s="356"/>
    </row>
    <row r="247" ht="15.75" customHeight="1">
      <c r="K247" s="356"/>
    </row>
    <row r="248" ht="15.75" customHeight="1">
      <c r="K248" s="356"/>
    </row>
    <row r="249" ht="15.75" customHeight="1">
      <c r="K249" s="356"/>
    </row>
    <row r="250" ht="15.75" customHeight="1">
      <c r="K250" s="356"/>
    </row>
    <row r="251" ht="15.75" customHeight="1">
      <c r="K251" s="356"/>
    </row>
    <row r="252" ht="15.75" customHeight="1">
      <c r="K252" s="356"/>
    </row>
    <row r="253" ht="15.75" customHeight="1">
      <c r="K253" s="356"/>
    </row>
    <row r="254" ht="15.75" customHeight="1">
      <c r="K254" s="356"/>
    </row>
    <row r="255" ht="15.75" customHeight="1">
      <c r="K255" s="356"/>
    </row>
    <row r="256" ht="15.75" customHeight="1">
      <c r="K256" s="356"/>
    </row>
    <row r="257" ht="15.75" customHeight="1">
      <c r="K257" s="356"/>
    </row>
    <row r="258" ht="15.75" customHeight="1">
      <c r="K258" s="356"/>
    </row>
    <row r="259" ht="15.75" customHeight="1">
      <c r="K259" s="356"/>
    </row>
    <row r="260" ht="15.75" customHeight="1">
      <c r="K260" s="356"/>
    </row>
    <row r="261" ht="15.75" customHeight="1">
      <c r="K261" s="356"/>
    </row>
    <row r="262" ht="15.75" customHeight="1">
      <c r="K262" s="356"/>
    </row>
    <row r="263" ht="15.75" customHeight="1">
      <c r="K263" s="356"/>
    </row>
    <row r="264" ht="15.75" customHeight="1">
      <c r="K264" s="356"/>
    </row>
    <row r="265" ht="15.75" customHeight="1">
      <c r="K265" s="356"/>
    </row>
    <row r="266" ht="15.75" customHeight="1">
      <c r="K266" s="356"/>
    </row>
    <row r="267" ht="15.75" customHeight="1">
      <c r="K267" s="356"/>
    </row>
    <row r="268" ht="15.75" customHeight="1">
      <c r="K268" s="356"/>
    </row>
    <row r="269" ht="15.75" customHeight="1">
      <c r="K269" s="356"/>
    </row>
    <row r="270" ht="15.75" customHeight="1">
      <c r="K270" s="356"/>
    </row>
    <row r="271" ht="15.75" customHeight="1">
      <c r="K271" s="356"/>
    </row>
    <row r="272" ht="15.75" customHeight="1">
      <c r="K272" s="356"/>
    </row>
    <row r="273" ht="15.75" customHeight="1">
      <c r="K273" s="356"/>
    </row>
    <row r="274" ht="15.75" customHeight="1">
      <c r="K274" s="356"/>
    </row>
    <row r="275" ht="15.75" customHeight="1">
      <c r="K275" s="356"/>
    </row>
    <row r="276" ht="15.75" customHeight="1">
      <c r="K276" s="356"/>
    </row>
    <row r="277" ht="15.75" customHeight="1">
      <c r="K277" s="356"/>
    </row>
    <row r="278" ht="15.75" customHeight="1">
      <c r="K278" s="356"/>
    </row>
    <row r="279" ht="15.75" customHeight="1">
      <c r="K279" s="356"/>
    </row>
    <row r="280" ht="15.75" customHeight="1">
      <c r="K280" s="356"/>
    </row>
    <row r="281" ht="15.75" customHeight="1">
      <c r="K281" s="356"/>
    </row>
    <row r="282" ht="15.75" customHeight="1">
      <c r="K282" s="356"/>
    </row>
    <row r="283" ht="15.75" customHeight="1">
      <c r="K283" s="356"/>
    </row>
    <row r="284" ht="15.75" customHeight="1">
      <c r="K284" s="356"/>
    </row>
    <row r="285" ht="15.75" customHeight="1">
      <c r="K285" s="356"/>
    </row>
    <row r="286" ht="15.75" customHeight="1">
      <c r="K286" s="356"/>
    </row>
    <row r="287" ht="15.75" customHeight="1">
      <c r="K287" s="356"/>
    </row>
    <row r="288" ht="15.75" customHeight="1">
      <c r="K288" s="356"/>
    </row>
    <row r="289" ht="15.75" customHeight="1">
      <c r="K289" s="356"/>
    </row>
    <row r="290" ht="15.75" customHeight="1">
      <c r="K290" s="356"/>
    </row>
    <row r="291" ht="15.75" customHeight="1">
      <c r="K291" s="356"/>
    </row>
    <row r="292" ht="15.75" customHeight="1">
      <c r="K292" s="356"/>
    </row>
    <row r="293" ht="15.75" customHeight="1">
      <c r="K293" s="356"/>
    </row>
    <row r="294" ht="15.75" customHeight="1">
      <c r="K294" s="356"/>
    </row>
    <row r="295" ht="15.75" customHeight="1">
      <c r="K295" s="356"/>
    </row>
    <row r="296" ht="15.75" customHeight="1">
      <c r="K296" s="356"/>
    </row>
    <row r="297" ht="15.75" customHeight="1">
      <c r="K297" s="356"/>
    </row>
    <row r="298" ht="15.75" customHeight="1">
      <c r="K298" s="356"/>
    </row>
    <row r="299" ht="15.75" customHeight="1">
      <c r="K299" s="356"/>
    </row>
    <row r="300" ht="15.75" customHeight="1">
      <c r="K300" s="356"/>
    </row>
    <row r="301" ht="15.75" customHeight="1">
      <c r="K301" s="356"/>
    </row>
    <row r="302" ht="15.75" customHeight="1">
      <c r="K302" s="356"/>
    </row>
    <row r="303" ht="15.75" customHeight="1">
      <c r="K303" s="356"/>
    </row>
    <row r="304" ht="15.75" customHeight="1">
      <c r="K304" s="356"/>
    </row>
    <row r="305" ht="15.75" customHeight="1">
      <c r="K305" s="356"/>
    </row>
    <row r="306" ht="15.75" customHeight="1">
      <c r="K306" s="356"/>
    </row>
    <row r="307" ht="15.75" customHeight="1">
      <c r="K307" s="356"/>
    </row>
    <row r="308" ht="15.75" customHeight="1">
      <c r="K308" s="356"/>
    </row>
    <row r="309" ht="15.75" customHeight="1">
      <c r="K309" s="356"/>
    </row>
    <row r="310" ht="15.75" customHeight="1">
      <c r="K310" s="356"/>
    </row>
    <row r="311" ht="15.75" customHeight="1">
      <c r="K311" s="356"/>
    </row>
    <row r="312" ht="15.75" customHeight="1">
      <c r="K312" s="356"/>
    </row>
    <row r="313" ht="15.75" customHeight="1">
      <c r="K313" s="356"/>
    </row>
    <row r="314" ht="15.75" customHeight="1">
      <c r="K314" s="356"/>
    </row>
    <row r="315" ht="15.75" customHeight="1">
      <c r="K315" s="356"/>
    </row>
    <row r="316" ht="15.75" customHeight="1">
      <c r="K316" s="356"/>
    </row>
    <row r="317" ht="15.75" customHeight="1">
      <c r="K317" s="356"/>
    </row>
    <row r="318" ht="15.75" customHeight="1">
      <c r="K318" s="356"/>
    </row>
    <row r="319" ht="15.75" customHeight="1">
      <c r="K319" s="356"/>
    </row>
    <row r="320" ht="15.75" customHeight="1">
      <c r="K320" s="356"/>
    </row>
    <row r="321" ht="15.75" customHeight="1">
      <c r="K321" s="356"/>
    </row>
    <row r="322" ht="15.75" customHeight="1">
      <c r="K322" s="356"/>
    </row>
    <row r="323" ht="15.75" customHeight="1">
      <c r="K323" s="356"/>
    </row>
    <row r="324" ht="15.75" customHeight="1">
      <c r="K324" s="356"/>
    </row>
    <row r="325" ht="15.75" customHeight="1">
      <c r="K325" s="356"/>
    </row>
    <row r="326" ht="15.75" customHeight="1">
      <c r="K326" s="356"/>
    </row>
    <row r="327" ht="15.75" customHeight="1">
      <c r="K327" s="356"/>
    </row>
    <row r="328" ht="15.75" customHeight="1">
      <c r="K328" s="356"/>
    </row>
    <row r="329" ht="15.75" customHeight="1">
      <c r="K329" s="356"/>
    </row>
    <row r="330" ht="15.75" customHeight="1">
      <c r="K330" s="356"/>
    </row>
    <row r="331" ht="15.75" customHeight="1">
      <c r="K331" s="356"/>
    </row>
    <row r="332" ht="15.75" customHeight="1">
      <c r="K332" s="356"/>
    </row>
    <row r="333" ht="15.75" customHeight="1">
      <c r="K333" s="356"/>
    </row>
    <row r="334" ht="15.75" customHeight="1">
      <c r="K334" s="356"/>
    </row>
    <row r="335" ht="15.75" customHeight="1">
      <c r="K335" s="356"/>
    </row>
    <row r="336" ht="15.75" customHeight="1">
      <c r="K336" s="356"/>
    </row>
    <row r="337" ht="15.75" customHeight="1">
      <c r="K337" s="356"/>
    </row>
    <row r="338" ht="15.75" customHeight="1">
      <c r="K338" s="356"/>
    </row>
    <row r="339" ht="15.75" customHeight="1">
      <c r="K339" s="356"/>
    </row>
    <row r="340" ht="15.75" customHeight="1">
      <c r="K340" s="356"/>
    </row>
    <row r="341" ht="15.75" customHeight="1">
      <c r="K341" s="356"/>
    </row>
    <row r="342" ht="15.75" customHeight="1">
      <c r="K342" s="356"/>
    </row>
    <row r="343" ht="15.75" customHeight="1">
      <c r="K343" s="356"/>
    </row>
    <row r="344" ht="15.75" customHeight="1">
      <c r="K344" s="356"/>
    </row>
    <row r="345" ht="15.75" customHeight="1">
      <c r="K345" s="356"/>
    </row>
    <row r="346" ht="15.75" customHeight="1">
      <c r="K346" s="356"/>
    </row>
    <row r="347" ht="15.75" customHeight="1">
      <c r="K347" s="356"/>
    </row>
    <row r="348" ht="15.75" customHeight="1">
      <c r="K348" s="356"/>
    </row>
    <row r="349" ht="15.75" customHeight="1">
      <c r="K349" s="356"/>
    </row>
    <row r="350" ht="15.75" customHeight="1">
      <c r="K350" s="356"/>
    </row>
    <row r="351" ht="15.75" customHeight="1">
      <c r="K351" s="356"/>
    </row>
    <row r="352" ht="15.75" customHeight="1">
      <c r="K352" s="356"/>
    </row>
    <row r="353" ht="15.75" customHeight="1">
      <c r="K353" s="356"/>
    </row>
    <row r="354" ht="15.75" customHeight="1">
      <c r="K354" s="356"/>
    </row>
    <row r="355" ht="15.75" customHeight="1">
      <c r="K355" s="356"/>
    </row>
    <row r="356" ht="15.75" customHeight="1">
      <c r="K356" s="356"/>
    </row>
    <row r="357" ht="15.75" customHeight="1">
      <c r="K357" s="356"/>
    </row>
    <row r="358" ht="15.75" customHeight="1">
      <c r="K358" s="356"/>
    </row>
    <row r="359" ht="15.75" customHeight="1">
      <c r="K359" s="356"/>
    </row>
    <row r="360" ht="15.75" customHeight="1">
      <c r="K360" s="356"/>
    </row>
    <row r="361" ht="15.75" customHeight="1">
      <c r="K361" s="356"/>
    </row>
    <row r="362" ht="15.75" customHeight="1">
      <c r="K362" s="356"/>
    </row>
    <row r="363" ht="15.75" customHeight="1">
      <c r="K363" s="356"/>
    </row>
    <row r="364" ht="15.75" customHeight="1">
      <c r="K364" s="356"/>
    </row>
    <row r="365" ht="15.75" customHeight="1">
      <c r="K365" s="356"/>
    </row>
    <row r="366" ht="15.75" customHeight="1">
      <c r="K366" s="356"/>
    </row>
    <row r="367" ht="15.75" customHeight="1">
      <c r="K367" s="356"/>
    </row>
    <row r="368" ht="15.75" customHeight="1">
      <c r="K368" s="356"/>
    </row>
    <row r="369" ht="15.75" customHeight="1">
      <c r="K369" s="356"/>
    </row>
    <row r="370" ht="15.75" customHeight="1">
      <c r="K370" s="356"/>
    </row>
    <row r="371" ht="15.75" customHeight="1">
      <c r="K371" s="356"/>
    </row>
    <row r="372" ht="15.75" customHeight="1">
      <c r="K372" s="356"/>
    </row>
    <row r="373" ht="15.75" customHeight="1">
      <c r="K373" s="356"/>
    </row>
    <row r="374" ht="15.75" customHeight="1">
      <c r="K374" s="356"/>
    </row>
    <row r="375" ht="15.75" customHeight="1">
      <c r="K375" s="356"/>
    </row>
    <row r="376" ht="15.75" customHeight="1">
      <c r="K376" s="356"/>
    </row>
    <row r="377" ht="15.75" customHeight="1">
      <c r="K377" s="356"/>
    </row>
    <row r="378" ht="15.75" customHeight="1">
      <c r="K378" s="356"/>
    </row>
    <row r="379" ht="15.75" customHeight="1">
      <c r="K379" s="356"/>
    </row>
    <row r="380" ht="15.75" customHeight="1">
      <c r="K380" s="356"/>
    </row>
    <row r="381" ht="15.75" customHeight="1">
      <c r="K381" s="356"/>
    </row>
    <row r="382" ht="15.75" customHeight="1">
      <c r="K382" s="356"/>
    </row>
    <row r="383" ht="15.75" customHeight="1">
      <c r="K383" s="356"/>
    </row>
    <row r="384" ht="15.75" customHeight="1">
      <c r="K384" s="356"/>
    </row>
    <row r="385" ht="15.75" customHeight="1">
      <c r="K385" s="356"/>
    </row>
    <row r="386" ht="15.75" customHeight="1">
      <c r="K386" s="356"/>
    </row>
    <row r="387" ht="15.75" customHeight="1">
      <c r="K387" s="356"/>
    </row>
    <row r="388" ht="15.75" customHeight="1">
      <c r="K388" s="356"/>
    </row>
    <row r="389" ht="15.75" customHeight="1">
      <c r="K389" s="356"/>
    </row>
    <row r="390" ht="15.75" customHeight="1">
      <c r="K390" s="356"/>
    </row>
    <row r="391" ht="15.75" customHeight="1">
      <c r="K391" s="356"/>
    </row>
    <row r="392" ht="15.75" customHeight="1">
      <c r="K392" s="356"/>
    </row>
    <row r="393" ht="15.75" customHeight="1">
      <c r="K393" s="356"/>
    </row>
    <row r="394" ht="15.75" customHeight="1">
      <c r="K394" s="356"/>
    </row>
    <row r="395" ht="15.75" customHeight="1">
      <c r="K395" s="356"/>
    </row>
    <row r="396" ht="15.75" customHeight="1">
      <c r="K396" s="356"/>
    </row>
    <row r="397" ht="15.75" customHeight="1">
      <c r="K397" s="356"/>
    </row>
    <row r="398" ht="15.75" customHeight="1">
      <c r="K398" s="356"/>
    </row>
    <row r="399" ht="15.75" customHeight="1">
      <c r="K399" s="356"/>
    </row>
    <row r="400" ht="15.75" customHeight="1">
      <c r="K400" s="356"/>
    </row>
    <row r="401" ht="15.75" customHeight="1">
      <c r="K401" s="356"/>
    </row>
    <row r="402" ht="15.75" customHeight="1">
      <c r="K402" s="356"/>
    </row>
    <row r="403" ht="15.75" customHeight="1">
      <c r="K403" s="356"/>
    </row>
    <row r="404" ht="15.75" customHeight="1">
      <c r="K404" s="356"/>
    </row>
    <row r="405" ht="15.75" customHeight="1">
      <c r="K405" s="356"/>
    </row>
    <row r="406" ht="15.75" customHeight="1">
      <c r="K406" s="356"/>
    </row>
    <row r="407" ht="15.75" customHeight="1">
      <c r="K407" s="356"/>
    </row>
    <row r="408" ht="15.75" customHeight="1">
      <c r="K408" s="356"/>
    </row>
    <row r="409" ht="15.75" customHeight="1">
      <c r="K409" s="356"/>
    </row>
    <row r="410" ht="15.75" customHeight="1">
      <c r="K410" s="356"/>
    </row>
    <row r="411" ht="15.75" customHeight="1">
      <c r="K411" s="356"/>
    </row>
    <row r="412" ht="15.75" customHeight="1">
      <c r="K412" s="356"/>
    </row>
    <row r="413" ht="15.75" customHeight="1">
      <c r="K413" s="356"/>
    </row>
    <row r="414" ht="15.75" customHeight="1">
      <c r="K414" s="356"/>
    </row>
    <row r="415" ht="15.75" customHeight="1">
      <c r="K415" s="356"/>
    </row>
    <row r="416" ht="15.75" customHeight="1">
      <c r="K416" s="356"/>
    </row>
    <row r="417" ht="15.75" customHeight="1">
      <c r="K417" s="356"/>
    </row>
    <row r="418" ht="15.75" customHeight="1">
      <c r="K418" s="356"/>
    </row>
    <row r="419" ht="15.75" customHeight="1">
      <c r="K419" s="356"/>
    </row>
    <row r="420" ht="15.75" customHeight="1">
      <c r="K420" s="356"/>
    </row>
    <row r="421" ht="15.75" customHeight="1">
      <c r="K421" s="356"/>
    </row>
    <row r="422" ht="15.75" customHeight="1">
      <c r="K422" s="356"/>
    </row>
    <row r="423" ht="15.75" customHeight="1">
      <c r="K423" s="356"/>
    </row>
    <row r="424" ht="15.75" customHeight="1">
      <c r="K424" s="356"/>
    </row>
    <row r="425" ht="15.75" customHeight="1">
      <c r="K425" s="356"/>
    </row>
    <row r="426" ht="15.75" customHeight="1">
      <c r="K426" s="356"/>
    </row>
    <row r="427" ht="15.75" customHeight="1">
      <c r="K427" s="356"/>
    </row>
    <row r="428" ht="15.75" customHeight="1">
      <c r="K428" s="356"/>
    </row>
    <row r="429" ht="15.75" customHeight="1">
      <c r="K429" s="356"/>
    </row>
    <row r="430" ht="15.75" customHeight="1">
      <c r="K430" s="356"/>
    </row>
    <row r="431" ht="15.75" customHeight="1">
      <c r="K431" s="356"/>
    </row>
    <row r="432" ht="15.75" customHeight="1">
      <c r="K432" s="356"/>
    </row>
    <row r="433" ht="15.75" customHeight="1">
      <c r="K433" s="356"/>
    </row>
    <row r="434" ht="15.75" customHeight="1">
      <c r="K434" s="356"/>
    </row>
    <row r="435" ht="15.75" customHeight="1">
      <c r="K435" s="356"/>
    </row>
    <row r="436" ht="15.75" customHeight="1">
      <c r="K436" s="356"/>
    </row>
    <row r="437" ht="15.75" customHeight="1">
      <c r="K437" s="356"/>
    </row>
    <row r="438" ht="15.75" customHeight="1">
      <c r="K438" s="356"/>
    </row>
    <row r="439" ht="15.75" customHeight="1">
      <c r="K439" s="356"/>
    </row>
    <row r="440" ht="15.75" customHeight="1">
      <c r="K440" s="356"/>
    </row>
    <row r="441" ht="15.75" customHeight="1">
      <c r="K441" s="356"/>
    </row>
    <row r="442" ht="15.75" customHeight="1">
      <c r="K442" s="356"/>
    </row>
    <row r="443" ht="15.75" customHeight="1">
      <c r="K443" s="356"/>
    </row>
    <row r="444" ht="15.75" customHeight="1">
      <c r="K444" s="356"/>
    </row>
    <row r="445" ht="15.75" customHeight="1">
      <c r="K445" s="356"/>
    </row>
    <row r="446" ht="15.75" customHeight="1">
      <c r="K446" s="356"/>
    </row>
    <row r="447" ht="15.75" customHeight="1">
      <c r="K447" s="356"/>
    </row>
    <row r="448" ht="15.75" customHeight="1">
      <c r="K448" s="356"/>
    </row>
    <row r="449" ht="15.75" customHeight="1">
      <c r="K449" s="356"/>
    </row>
    <row r="450" ht="15.75" customHeight="1">
      <c r="K450" s="356"/>
    </row>
    <row r="451" ht="15.75" customHeight="1">
      <c r="K451" s="356"/>
    </row>
    <row r="452" ht="15.75" customHeight="1">
      <c r="K452" s="356"/>
    </row>
    <row r="453" ht="15.75" customHeight="1">
      <c r="K453" s="356"/>
    </row>
    <row r="454" ht="15.75" customHeight="1">
      <c r="K454" s="356"/>
    </row>
    <row r="455" ht="15.75" customHeight="1">
      <c r="K455" s="356"/>
    </row>
    <row r="456" ht="15.75" customHeight="1">
      <c r="K456" s="356"/>
    </row>
    <row r="457" ht="15.75" customHeight="1">
      <c r="K457" s="356"/>
    </row>
    <row r="458" ht="15.75" customHeight="1">
      <c r="K458" s="356"/>
    </row>
    <row r="459" ht="15.75" customHeight="1">
      <c r="K459" s="356"/>
    </row>
    <row r="460" ht="15.75" customHeight="1">
      <c r="K460" s="356"/>
    </row>
    <row r="461" ht="15.75" customHeight="1">
      <c r="K461" s="356"/>
    </row>
    <row r="462" ht="15.75" customHeight="1">
      <c r="K462" s="356"/>
    </row>
    <row r="463" ht="15.75" customHeight="1">
      <c r="K463" s="356"/>
    </row>
    <row r="464" ht="15.75" customHeight="1">
      <c r="K464" s="356"/>
    </row>
    <row r="465" ht="15.75" customHeight="1">
      <c r="K465" s="356"/>
    </row>
    <row r="466" ht="15.75" customHeight="1">
      <c r="K466" s="356"/>
    </row>
    <row r="467" ht="15.75" customHeight="1">
      <c r="K467" s="356"/>
    </row>
    <row r="468" ht="15.75" customHeight="1">
      <c r="K468" s="356"/>
    </row>
    <row r="469" ht="15.75" customHeight="1">
      <c r="K469" s="356"/>
    </row>
    <row r="470" ht="15.75" customHeight="1">
      <c r="K470" s="356"/>
    </row>
    <row r="471" ht="15.75" customHeight="1">
      <c r="K471" s="356"/>
    </row>
    <row r="472" ht="15.75" customHeight="1">
      <c r="K472" s="356"/>
    </row>
    <row r="473" ht="15.75" customHeight="1">
      <c r="K473" s="356"/>
    </row>
    <row r="474" ht="15.75" customHeight="1">
      <c r="K474" s="356"/>
    </row>
    <row r="475" ht="15.75" customHeight="1">
      <c r="K475" s="356"/>
    </row>
    <row r="476" ht="15.75" customHeight="1">
      <c r="K476" s="356"/>
    </row>
    <row r="477" ht="15.75" customHeight="1">
      <c r="K477" s="356"/>
    </row>
    <row r="478" ht="15.75" customHeight="1">
      <c r="K478" s="356"/>
    </row>
    <row r="479" ht="15.75" customHeight="1">
      <c r="K479" s="356"/>
    </row>
    <row r="480" ht="15.75" customHeight="1">
      <c r="K480" s="356"/>
    </row>
    <row r="481" ht="15.75" customHeight="1">
      <c r="K481" s="356"/>
    </row>
    <row r="482" ht="15.75" customHeight="1">
      <c r="K482" s="356"/>
    </row>
    <row r="483" ht="15.75" customHeight="1">
      <c r="K483" s="356"/>
    </row>
    <row r="484" ht="15.75" customHeight="1">
      <c r="K484" s="356"/>
    </row>
    <row r="485" ht="15.75" customHeight="1">
      <c r="K485" s="356"/>
    </row>
    <row r="486" ht="15.75" customHeight="1">
      <c r="K486" s="356"/>
    </row>
    <row r="487" ht="15.75" customHeight="1">
      <c r="K487" s="356"/>
    </row>
    <row r="488" ht="15.75" customHeight="1">
      <c r="K488" s="356"/>
    </row>
    <row r="489" ht="15.75" customHeight="1">
      <c r="K489" s="356"/>
    </row>
    <row r="490" ht="15.75" customHeight="1">
      <c r="K490" s="356"/>
    </row>
    <row r="491" ht="15.75" customHeight="1">
      <c r="K491" s="356"/>
    </row>
    <row r="492" ht="15.75" customHeight="1">
      <c r="K492" s="356"/>
    </row>
    <row r="493" ht="15.75" customHeight="1">
      <c r="K493" s="356"/>
    </row>
    <row r="494" ht="15.75" customHeight="1">
      <c r="K494" s="356"/>
    </row>
    <row r="495" ht="15.75" customHeight="1">
      <c r="K495" s="356"/>
    </row>
    <row r="496" ht="15.75" customHeight="1">
      <c r="K496" s="356"/>
    </row>
    <row r="497" ht="15.75" customHeight="1">
      <c r="K497" s="356"/>
    </row>
    <row r="498" ht="15.75" customHeight="1">
      <c r="K498" s="356"/>
    </row>
    <row r="499" ht="15.75" customHeight="1">
      <c r="K499" s="356"/>
    </row>
    <row r="500" ht="15.75" customHeight="1">
      <c r="K500" s="356"/>
    </row>
    <row r="501" ht="15.75" customHeight="1">
      <c r="K501" s="356"/>
    </row>
    <row r="502" ht="15.75" customHeight="1">
      <c r="K502" s="356"/>
    </row>
    <row r="503" ht="15.75" customHeight="1">
      <c r="K503" s="356"/>
    </row>
    <row r="504" ht="15.75" customHeight="1">
      <c r="K504" s="356"/>
    </row>
    <row r="505" ht="15.75" customHeight="1">
      <c r="K505" s="356"/>
    </row>
    <row r="506" ht="15.75" customHeight="1">
      <c r="K506" s="356"/>
    </row>
    <row r="507" ht="15.75" customHeight="1">
      <c r="K507" s="356"/>
    </row>
    <row r="508" ht="15.75" customHeight="1">
      <c r="K508" s="356"/>
    </row>
    <row r="509" ht="15.75" customHeight="1">
      <c r="K509" s="356"/>
    </row>
    <row r="510" ht="15.75" customHeight="1">
      <c r="K510" s="356"/>
    </row>
    <row r="511" ht="15.75" customHeight="1">
      <c r="K511" s="356"/>
    </row>
    <row r="512" ht="15.75" customHeight="1">
      <c r="K512" s="356"/>
    </row>
    <row r="513" ht="15.75" customHeight="1">
      <c r="K513" s="356"/>
    </row>
    <row r="514" ht="15.75" customHeight="1">
      <c r="K514" s="356"/>
    </row>
    <row r="515" ht="15.75" customHeight="1">
      <c r="K515" s="356"/>
    </row>
    <row r="516" ht="15.75" customHeight="1">
      <c r="K516" s="356"/>
    </row>
    <row r="517" ht="15.75" customHeight="1">
      <c r="K517" s="356"/>
    </row>
    <row r="518" ht="15.75" customHeight="1">
      <c r="K518" s="356"/>
    </row>
    <row r="519" ht="15.75" customHeight="1">
      <c r="K519" s="356"/>
    </row>
    <row r="520" ht="15.75" customHeight="1">
      <c r="K520" s="356"/>
    </row>
    <row r="521" ht="15.75" customHeight="1">
      <c r="K521" s="356"/>
    </row>
    <row r="522" ht="15.75" customHeight="1">
      <c r="K522" s="356"/>
    </row>
    <row r="523" ht="15.75" customHeight="1">
      <c r="K523" s="356"/>
    </row>
    <row r="524" ht="15.75" customHeight="1">
      <c r="K524" s="356"/>
    </row>
    <row r="525" ht="15.75" customHeight="1">
      <c r="K525" s="356"/>
    </row>
    <row r="526" ht="15.75" customHeight="1">
      <c r="K526" s="356"/>
    </row>
    <row r="527" ht="15.75" customHeight="1">
      <c r="K527" s="356"/>
    </row>
    <row r="528" ht="15.75" customHeight="1">
      <c r="K528" s="356"/>
    </row>
    <row r="529" ht="15.75" customHeight="1">
      <c r="K529" s="356"/>
    </row>
    <row r="530" ht="15.75" customHeight="1">
      <c r="K530" s="356"/>
    </row>
    <row r="531" ht="15.75" customHeight="1">
      <c r="K531" s="356"/>
    </row>
    <row r="532" ht="15.75" customHeight="1">
      <c r="K532" s="356"/>
    </row>
    <row r="533" ht="15.75" customHeight="1">
      <c r="K533" s="356"/>
    </row>
    <row r="534" ht="15.75" customHeight="1">
      <c r="K534" s="356"/>
    </row>
    <row r="535" ht="15.75" customHeight="1">
      <c r="K535" s="356"/>
    </row>
    <row r="536" ht="15.75" customHeight="1">
      <c r="K536" s="356"/>
    </row>
    <row r="537" ht="15.75" customHeight="1">
      <c r="K537" s="356"/>
    </row>
    <row r="538" ht="15.75" customHeight="1">
      <c r="K538" s="356"/>
    </row>
    <row r="539" ht="15.75" customHeight="1">
      <c r="K539" s="356"/>
    </row>
    <row r="540" ht="15.75" customHeight="1">
      <c r="K540" s="356"/>
    </row>
    <row r="541" ht="15.75" customHeight="1">
      <c r="K541" s="356"/>
    </row>
    <row r="542" ht="15.75" customHeight="1">
      <c r="K542" s="356"/>
    </row>
    <row r="543" ht="15.75" customHeight="1">
      <c r="K543" s="356"/>
    </row>
    <row r="544" ht="15.75" customHeight="1">
      <c r="K544" s="356"/>
    </row>
    <row r="545" ht="15.75" customHeight="1">
      <c r="K545" s="356"/>
    </row>
    <row r="546" ht="15.75" customHeight="1">
      <c r="K546" s="356"/>
    </row>
    <row r="547" ht="15.75" customHeight="1">
      <c r="K547" s="356"/>
    </row>
    <row r="548" ht="15.75" customHeight="1">
      <c r="K548" s="356"/>
    </row>
    <row r="549" ht="15.75" customHeight="1">
      <c r="K549" s="356"/>
    </row>
    <row r="550" ht="15.75" customHeight="1">
      <c r="K550" s="356"/>
    </row>
    <row r="551" ht="15.75" customHeight="1">
      <c r="K551" s="356"/>
    </row>
    <row r="552" ht="15.75" customHeight="1">
      <c r="K552" s="356"/>
    </row>
    <row r="553" ht="15.75" customHeight="1">
      <c r="K553" s="356"/>
    </row>
    <row r="554" ht="15.75" customHeight="1">
      <c r="K554" s="356"/>
    </row>
    <row r="555" ht="15.75" customHeight="1">
      <c r="K555" s="356"/>
    </row>
    <row r="556" ht="15.75" customHeight="1">
      <c r="K556" s="356"/>
    </row>
    <row r="557" ht="15.75" customHeight="1">
      <c r="K557" s="356"/>
    </row>
    <row r="558" ht="15.75" customHeight="1">
      <c r="K558" s="356"/>
    </row>
    <row r="559" ht="15.75" customHeight="1">
      <c r="K559" s="356"/>
    </row>
    <row r="560" ht="15.75" customHeight="1">
      <c r="K560" s="356"/>
    </row>
    <row r="561" ht="15.75" customHeight="1">
      <c r="K561" s="356"/>
    </row>
    <row r="562" ht="15.75" customHeight="1">
      <c r="K562" s="356"/>
    </row>
    <row r="563" ht="15.75" customHeight="1">
      <c r="K563" s="356"/>
    </row>
    <row r="564" ht="15.75" customHeight="1">
      <c r="K564" s="356"/>
    </row>
    <row r="565" ht="15.75" customHeight="1">
      <c r="K565" s="356"/>
    </row>
    <row r="566" ht="15.75" customHeight="1">
      <c r="K566" s="356"/>
    </row>
    <row r="567" ht="15.75" customHeight="1">
      <c r="K567" s="356"/>
    </row>
    <row r="568" ht="15.75" customHeight="1">
      <c r="K568" s="356"/>
    </row>
    <row r="569" ht="15.75" customHeight="1">
      <c r="K569" s="356"/>
    </row>
    <row r="570" ht="15.75" customHeight="1">
      <c r="K570" s="356"/>
    </row>
    <row r="571" ht="15.75" customHeight="1">
      <c r="K571" s="356"/>
    </row>
    <row r="572" ht="15.75" customHeight="1">
      <c r="K572" s="356"/>
    </row>
    <row r="573" ht="15.75" customHeight="1">
      <c r="K573" s="356"/>
    </row>
    <row r="574" ht="15.75" customHeight="1">
      <c r="K574" s="356"/>
    </row>
    <row r="575" ht="15.75" customHeight="1">
      <c r="K575" s="356"/>
    </row>
    <row r="576" ht="15.75" customHeight="1">
      <c r="K576" s="356"/>
    </row>
    <row r="577" ht="15.75" customHeight="1">
      <c r="K577" s="356"/>
    </row>
    <row r="578" ht="15.75" customHeight="1">
      <c r="K578" s="356"/>
    </row>
    <row r="579" ht="15.75" customHeight="1">
      <c r="K579" s="356"/>
    </row>
    <row r="580" ht="15.75" customHeight="1">
      <c r="K580" s="356"/>
    </row>
    <row r="581" ht="15.75" customHeight="1">
      <c r="K581" s="356"/>
    </row>
    <row r="582" ht="15.75" customHeight="1">
      <c r="K582" s="356"/>
    </row>
    <row r="583" ht="15.75" customHeight="1">
      <c r="K583" s="356"/>
    </row>
    <row r="584" ht="15.75" customHeight="1">
      <c r="K584" s="356"/>
    </row>
    <row r="585" ht="15.75" customHeight="1">
      <c r="K585" s="356"/>
    </row>
    <row r="586" ht="15.75" customHeight="1">
      <c r="K586" s="356"/>
    </row>
    <row r="587" ht="15.75" customHeight="1">
      <c r="K587" s="356"/>
    </row>
    <row r="588" ht="15.75" customHeight="1">
      <c r="K588" s="356"/>
    </row>
    <row r="589" ht="15.75" customHeight="1">
      <c r="K589" s="356"/>
    </row>
    <row r="590" ht="15.75" customHeight="1">
      <c r="K590" s="356"/>
    </row>
    <row r="591" ht="15.75" customHeight="1">
      <c r="K591" s="356"/>
    </row>
    <row r="592" ht="15.75" customHeight="1">
      <c r="K592" s="356"/>
    </row>
    <row r="593" ht="15.75" customHeight="1">
      <c r="K593" s="356"/>
    </row>
    <row r="594" ht="15.75" customHeight="1">
      <c r="K594" s="356"/>
    </row>
    <row r="595" ht="15.75" customHeight="1">
      <c r="K595" s="356"/>
    </row>
    <row r="596" ht="15.75" customHeight="1">
      <c r="K596" s="356"/>
    </row>
    <row r="597" ht="15.75" customHeight="1">
      <c r="K597" s="356"/>
    </row>
    <row r="598" ht="15.75" customHeight="1">
      <c r="K598" s="356"/>
    </row>
    <row r="599" ht="15.75" customHeight="1">
      <c r="K599" s="356"/>
    </row>
    <row r="600" ht="15.75" customHeight="1">
      <c r="K600" s="356"/>
    </row>
    <row r="601" ht="15.75" customHeight="1">
      <c r="K601" s="356"/>
    </row>
    <row r="602" ht="15.75" customHeight="1">
      <c r="K602" s="356"/>
    </row>
    <row r="603" ht="15.75" customHeight="1">
      <c r="K603" s="356"/>
    </row>
    <row r="604" ht="15.75" customHeight="1">
      <c r="K604" s="356"/>
    </row>
    <row r="605" ht="15.75" customHeight="1">
      <c r="K605" s="356"/>
    </row>
    <row r="606" ht="15.75" customHeight="1">
      <c r="K606" s="356"/>
    </row>
    <row r="607" ht="15.75" customHeight="1">
      <c r="K607" s="356"/>
    </row>
    <row r="608" ht="15.75" customHeight="1">
      <c r="K608" s="356"/>
    </row>
    <row r="609" ht="15.75" customHeight="1">
      <c r="K609" s="356"/>
    </row>
    <row r="610" ht="15.75" customHeight="1">
      <c r="K610" s="356"/>
    </row>
    <row r="611" ht="15.75" customHeight="1">
      <c r="K611" s="356"/>
    </row>
    <row r="612" ht="15.75" customHeight="1">
      <c r="K612" s="356"/>
    </row>
    <row r="613" ht="15.75" customHeight="1">
      <c r="K613" s="356"/>
    </row>
    <row r="614" ht="15.75" customHeight="1">
      <c r="K614" s="356"/>
    </row>
    <row r="615" ht="15.75" customHeight="1">
      <c r="K615" s="356"/>
    </row>
    <row r="616" ht="15.75" customHeight="1">
      <c r="K616" s="356"/>
    </row>
    <row r="617" ht="15.75" customHeight="1">
      <c r="K617" s="356"/>
    </row>
    <row r="618" ht="15.75" customHeight="1">
      <c r="K618" s="356"/>
    </row>
    <row r="619" ht="15.75" customHeight="1">
      <c r="K619" s="356"/>
    </row>
    <row r="620" ht="15.75" customHeight="1">
      <c r="K620" s="356"/>
    </row>
    <row r="621" ht="15.75" customHeight="1">
      <c r="K621" s="356"/>
    </row>
    <row r="622" ht="15.75" customHeight="1">
      <c r="K622" s="356"/>
    </row>
    <row r="623" ht="15.75" customHeight="1">
      <c r="K623" s="356"/>
    </row>
    <row r="624" ht="15.75" customHeight="1">
      <c r="K624" s="356"/>
    </row>
    <row r="625" ht="15.75" customHeight="1">
      <c r="K625" s="356"/>
    </row>
    <row r="626" ht="15.75" customHeight="1">
      <c r="K626" s="356"/>
    </row>
    <row r="627" ht="15.75" customHeight="1">
      <c r="K627" s="356"/>
    </row>
    <row r="628" ht="15.75" customHeight="1">
      <c r="K628" s="356"/>
    </row>
    <row r="629" ht="15.75" customHeight="1">
      <c r="K629" s="356"/>
    </row>
    <row r="630" ht="15.75" customHeight="1">
      <c r="K630" s="356"/>
    </row>
    <row r="631" ht="15.75" customHeight="1">
      <c r="K631" s="356"/>
    </row>
    <row r="632" ht="15.75" customHeight="1">
      <c r="K632" s="356"/>
    </row>
    <row r="633" ht="15.75" customHeight="1">
      <c r="K633" s="356"/>
    </row>
    <row r="634" ht="15.75" customHeight="1">
      <c r="K634" s="356"/>
    </row>
    <row r="635" ht="15.75" customHeight="1">
      <c r="K635" s="356"/>
    </row>
    <row r="636" ht="15.75" customHeight="1">
      <c r="K636" s="356"/>
    </row>
    <row r="637" ht="15.75" customHeight="1">
      <c r="K637" s="356"/>
    </row>
    <row r="638" ht="15.75" customHeight="1">
      <c r="K638" s="356"/>
    </row>
    <row r="639" ht="15.75" customHeight="1">
      <c r="K639" s="356"/>
    </row>
    <row r="640" ht="15.75" customHeight="1">
      <c r="K640" s="356"/>
    </row>
    <row r="641" ht="15.75" customHeight="1">
      <c r="K641" s="356"/>
    </row>
    <row r="642" ht="15.75" customHeight="1">
      <c r="K642" s="356"/>
    </row>
    <row r="643" ht="15.75" customHeight="1">
      <c r="K643" s="356"/>
    </row>
    <row r="644" ht="15.75" customHeight="1">
      <c r="K644" s="356"/>
    </row>
    <row r="645" ht="15.75" customHeight="1">
      <c r="K645" s="356"/>
    </row>
    <row r="646" ht="15.75" customHeight="1">
      <c r="K646" s="356"/>
    </row>
    <row r="647" ht="15.75" customHeight="1">
      <c r="K647" s="356"/>
    </row>
    <row r="648" ht="15.75" customHeight="1">
      <c r="K648" s="356"/>
    </row>
    <row r="649" ht="15.75" customHeight="1">
      <c r="K649" s="356"/>
    </row>
    <row r="650" ht="15.75" customHeight="1">
      <c r="K650" s="356"/>
    </row>
    <row r="651" ht="15.75" customHeight="1">
      <c r="K651" s="356"/>
    </row>
    <row r="652" ht="15.75" customHeight="1">
      <c r="K652" s="356"/>
    </row>
    <row r="653" ht="15.75" customHeight="1">
      <c r="K653" s="356"/>
    </row>
    <row r="654" ht="15.75" customHeight="1">
      <c r="K654" s="356"/>
    </row>
    <row r="655" ht="15.75" customHeight="1">
      <c r="K655" s="356"/>
    </row>
    <row r="656" ht="15.75" customHeight="1">
      <c r="K656" s="356"/>
    </row>
    <row r="657" ht="15.75" customHeight="1">
      <c r="K657" s="356"/>
    </row>
    <row r="658" ht="15.75" customHeight="1">
      <c r="K658" s="356"/>
    </row>
    <row r="659" ht="15.75" customHeight="1">
      <c r="K659" s="356"/>
    </row>
    <row r="660" ht="15.75" customHeight="1">
      <c r="K660" s="356"/>
    </row>
    <row r="661" ht="15.75" customHeight="1">
      <c r="K661" s="356"/>
    </row>
    <row r="662" ht="15.75" customHeight="1">
      <c r="K662" s="356"/>
    </row>
    <row r="663" ht="15.75" customHeight="1">
      <c r="K663" s="356"/>
    </row>
    <row r="664" ht="15.75" customHeight="1">
      <c r="K664" s="356"/>
    </row>
    <row r="665" ht="15.75" customHeight="1">
      <c r="K665" s="356"/>
    </row>
    <row r="666" ht="15.75" customHeight="1">
      <c r="K666" s="356"/>
    </row>
    <row r="667" ht="15.75" customHeight="1">
      <c r="K667" s="356"/>
    </row>
    <row r="668" ht="15.75" customHeight="1">
      <c r="K668" s="356"/>
    </row>
    <row r="669" ht="15.75" customHeight="1">
      <c r="K669" s="356"/>
    </row>
    <row r="670" ht="15.75" customHeight="1">
      <c r="K670" s="356"/>
    </row>
    <row r="671" ht="15.75" customHeight="1">
      <c r="K671" s="356"/>
    </row>
    <row r="672" ht="15.75" customHeight="1">
      <c r="K672" s="356"/>
    </row>
    <row r="673" ht="15.75" customHeight="1">
      <c r="K673" s="356"/>
    </row>
    <row r="674" ht="15.75" customHeight="1">
      <c r="K674" s="356"/>
    </row>
    <row r="675" ht="15.75" customHeight="1">
      <c r="K675" s="356"/>
    </row>
    <row r="676" ht="15.75" customHeight="1">
      <c r="K676" s="356"/>
    </row>
    <row r="677" ht="15.75" customHeight="1">
      <c r="K677" s="356"/>
    </row>
    <row r="678" ht="15.75" customHeight="1">
      <c r="K678" s="356"/>
    </row>
    <row r="679" ht="15.75" customHeight="1">
      <c r="K679" s="356"/>
    </row>
    <row r="680" ht="15.75" customHeight="1">
      <c r="K680" s="356"/>
    </row>
    <row r="681" ht="15.75" customHeight="1">
      <c r="K681" s="356"/>
    </row>
    <row r="682" ht="15.75" customHeight="1">
      <c r="K682" s="356"/>
    </row>
    <row r="683" ht="15.75" customHeight="1">
      <c r="K683" s="356"/>
    </row>
    <row r="684" ht="15.75" customHeight="1">
      <c r="K684" s="356"/>
    </row>
    <row r="685" ht="15.75" customHeight="1">
      <c r="K685" s="356"/>
    </row>
    <row r="686" ht="15.75" customHeight="1">
      <c r="K686" s="356"/>
    </row>
    <row r="687" ht="15.75" customHeight="1">
      <c r="K687" s="356"/>
    </row>
    <row r="688" ht="15.75" customHeight="1">
      <c r="K688" s="356"/>
    </row>
    <row r="689" ht="15.75" customHeight="1">
      <c r="K689" s="356"/>
    </row>
    <row r="690" ht="15.75" customHeight="1">
      <c r="K690" s="356"/>
    </row>
    <row r="691" ht="15.75" customHeight="1">
      <c r="K691" s="356"/>
    </row>
    <row r="692" ht="15.75" customHeight="1">
      <c r="K692" s="356"/>
    </row>
    <row r="693" ht="15.75" customHeight="1">
      <c r="K693" s="356"/>
    </row>
    <row r="694" ht="15.75" customHeight="1">
      <c r="K694" s="356"/>
    </row>
    <row r="695" ht="15.75" customHeight="1">
      <c r="K695" s="356"/>
    </row>
    <row r="696" ht="15.75" customHeight="1">
      <c r="K696" s="356"/>
    </row>
    <row r="697" ht="15.75" customHeight="1">
      <c r="K697" s="356"/>
    </row>
    <row r="698" ht="15.75" customHeight="1">
      <c r="K698" s="356"/>
    </row>
    <row r="699" ht="15.75" customHeight="1">
      <c r="K699" s="356"/>
    </row>
    <row r="700" ht="15.75" customHeight="1">
      <c r="K700" s="356"/>
    </row>
    <row r="701" ht="15.75" customHeight="1">
      <c r="K701" s="356"/>
    </row>
    <row r="702" ht="15.75" customHeight="1">
      <c r="K702" s="356"/>
    </row>
    <row r="703" ht="15.75" customHeight="1">
      <c r="K703" s="356"/>
    </row>
    <row r="704" ht="15.75" customHeight="1">
      <c r="K704" s="356"/>
    </row>
    <row r="705" ht="15.75" customHeight="1">
      <c r="K705" s="356"/>
    </row>
    <row r="706" ht="15.75" customHeight="1">
      <c r="K706" s="356"/>
    </row>
    <row r="707" ht="15.75" customHeight="1">
      <c r="K707" s="356"/>
    </row>
    <row r="708" ht="15.75" customHeight="1">
      <c r="K708" s="356"/>
    </row>
    <row r="709" ht="15.75" customHeight="1">
      <c r="K709" s="356"/>
    </row>
    <row r="710" ht="15.75" customHeight="1">
      <c r="K710" s="356"/>
    </row>
    <row r="711" ht="15.75" customHeight="1">
      <c r="K711" s="356"/>
    </row>
    <row r="712" ht="15.75" customHeight="1">
      <c r="K712" s="356"/>
    </row>
    <row r="713" ht="15.75" customHeight="1">
      <c r="K713" s="356"/>
    </row>
    <row r="714" ht="15.75" customHeight="1">
      <c r="K714" s="356"/>
    </row>
    <row r="715" ht="15.75" customHeight="1">
      <c r="K715" s="356"/>
    </row>
    <row r="716" ht="15.75" customHeight="1">
      <c r="K716" s="356"/>
    </row>
    <row r="717" ht="15.75" customHeight="1">
      <c r="K717" s="356"/>
    </row>
    <row r="718" ht="15.75" customHeight="1">
      <c r="K718" s="356"/>
    </row>
    <row r="719" ht="15.75" customHeight="1">
      <c r="K719" s="356"/>
    </row>
    <row r="720" ht="15.75" customHeight="1">
      <c r="K720" s="356"/>
    </row>
    <row r="721" ht="15.75" customHeight="1">
      <c r="K721" s="356"/>
    </row>
    <row r="722" ht="15.75" customHeight="1">
      <c r="K722" s="356"/>
    </row>
    <row r="723" ht="15.75" customHeight="1">
      <c r="K723" s="356"/>
    </row>
    <row r="724" ht="15.75" customHeight="1">
      <c r="K724" s="356"/>
    </row>
    <row r="725" ht="15.75" customHeight="1">
      <c r="K725" s="356"/>
    </row>
    <row r="726" ht="15.75" customHeight="1">
      <c r="K726" s="356"/>
    </row>
    <row r="727" ht="15.75" customHeight="1">
      <c r="K727" s="356"/>
    </row>
    <row r="728" ht="15.75" customHeight="1">
      <c r="K728" s="356"/>
    </row>
    <row r="729" ht="15.75" customHeight="1">
      <c r="K729" s="356"/>
    </row>
    <row r="730" ht="15.75" customHeight="1">
      <c r="K730" s="356"/>
    </row>
    <row r="731" ht="15.75" customHeight="1">
      <c r="K731" s="356"/>
    </row>
    <row r="732" ht="15.75" customHeight="1">
      <c r="K732" s="356"/>
    </row>
    <row r="733" ht="15.75" customHeight="1">
      <c r="K733" s="356"/>
    </row>
    <row r="734" ht="15.75" customHeight="1">
      <c r="K734" s="356"/>
    </row>
    <row r="735" ht="15.75" customHeight="1">
      <c r="K735" s="356"/>
    </row>
    <row r="736" ht="15.75" customHeight="1">
      <c r="K736" s="356"/>
    </row>
    <row r="737" ht="15.75" customHeight="1">
      <c r="K737" s="356"/>
    </row>
    <row r="738" ht="15.75" customHeight="1">
      <c r="K738" s="356"/>
    </row>
    <row r="739" ht="15.75" customHeight="1">
      <c r="K739" s="356"/>
    </row>
    <row r="740" ht="15.75" customHeight="1">
      <c r="K740" s="356"/>
    </row>
    <row r="741" ht="15.75" customHeight="1">
      <c r="K741" s="356"/>
    </row>
    <row r="742" ht="15.75" customHeight="1">
      <c r="K742" s="356"/>
    </row>
    <row r="743" ht="15.75" customHeight="1">
      <c r="K743" s="356"/>
    </row>
    <row r="744" ht="15.75" customHeight="1">
      <c r="K744" s="356"/>
    </row>
    <row r="745" ht="15.75" customHeight="1">
      <c r="K745" s="356"/>
    </row>
    <row r="746" ht="15.75" customHeight="1">
      <c r="K746" s="356"/>
    </row>
    <row r="747" ht="15.75" customHeight="1">
      <c r="K747" s="356"/>
    </row>
    <row r="748" ht="15.75" customHeight="1">
      <c r="K748" s="356"/>
    </row>
    <row r="749" ht="15.75" customHeight="1">
      <c r="K749" s="356"/>
    </row>
    <row r="750" ht="15.75" customHeight="1">
      <c r="K750" s="356"/>
    </row>
    <row r="751" ht="15.75" customHeight="1">
      <c r="K751" s="356"/>
    </row>
    <row r="752" ht="15.75" customHeight="1">
      <c r="K752" s="356"/>
    </row>
    <row r="753" ht="15.75" customHeight="1">
      <c r="K753" s="356"/>
    </row>
    <row r="754" ht="15.75" customHeight="1">
      <c r="K754" s="356"/>
    </row>
    <row r="755" ht="15.75" customHeight="1">
      <c r="K755" s="356"/>
    </row>
    <row r="756" ht="15.75" customHeight="1">
      <c r="K756" s="356"/>
    </row>
    <row r="757" ht="15.75" customHeight="1">
      <c r="K757" s="356"/>
    </row>
    <row r="758" ht="15.75" customHeight="1">
      <c r="K758" s="356"/>
    </row>
    <row r="759" ht="15.75" customHeight="1">
      <c r="K759" s="356"/>
    </row>
    <row r="760" ht="15.75" customHeight="1">
      <c r="K760" s="356"/>
    </row>
    <row r="761" ht="15.75" customHeight="1">
      <c r="K761" s="356"/>
    </row>
    <row r="762" ht="15.75" customHeight="1">
      <c r="K762" s="356"/>
    </row>
    <row r="763" ht="15.75" customHeight="1">
      <c r="K763" s="356"/>
    </row>
    <row r="764" ht="15.75" customHeight="1">
      <c r="K764" s="356"/>
    </row>
    <row r="765" ht="15.75" customHeight="1">
      <c r="K765" s="356"/>
    </row>
    <row r="766" ht="15.75" customHeight="1">
      <c r="K766" s="356"/>
    </row>
    <row r="767" ht="15.75" customHeight="1">
      <c r="K767" s="356"/>
    </row>
    <row r="768" ht="15.75" customHeight="1">
      <c r="K768" s="356"/>
    </row>
    <row r="769" ht="15.75" customHeight="1">
      <c r="K769" s="356"/>
    </row>
    <row r="770" ht="15.75" customHeight="1">
      <c r="K770" s="356"/>
    </row>
    <row r="771" ht="15.75" customHeight="1">
      <c r="K771" s="356"/>
    </row>
    <row r="772" ht="15.75" customHeight="1">
      <c r="K772" s="356"/>
    </row>
    <row r="773" ht="15.75" customHeight="1">
      <c r="K773" s="356"/>
    </row>
    <row r="774" ht="15.75" customHeight="1">
      <c r="K774" s="356"/>
    </row>
    <row r="775" ht="15.75" customHeight="1">
      <c r="K775" s="356"/>
    </row>
    <row r="776" ht="15.75" customHeight="1">
      <c r="K776" s="356"/>
    </row>
    <row r="777" ht="15.75" customHeight="1">
      <c r="K777" s="356"/>
    </row>
    <row r="778" ht="15.75" customHeight="1">
      <c r="K778" s="356"/>
    </row>
    <row r="779" ht="15.75" customHeight="1">
      <c r="K779" s="356"/>
    </row>
    <row r="780" ht="15.75" customHeight="1">
      <c r="K780" s="356"/>
    </row>
    <row r="781" ht="15.75" customHeight="1">
      <c r="K781" s="356"/>
    </row>
    <row r="782" ht="15.75" customHeight="1">
      <c r="K782" s="356"/>
    </row>
    <row r="783" ht="15.75" customHeight="1">
      <c r="K783" s="356"/>
    </row>
    <row r="784" ht="15.75" customHeight="1">
      <c r="K784" s="356"/>
    </row>
    <row r="785" ht="15.75" customHeight="1">
      <c r="K785" s="356"/>
    </row>
    <row r="786" ht="15.75" customHeight="1">
      <c r="K786" s="356"/>
    </row>
    <row r="787" ht="15.75" customHeight="1">
      <c r="K787" s="356"/>
    </row>
    <row r="788" ht="15.75" customHeight="1">
      <c r="K788" s="356"/>
    </row>
    <row r="789" ht="15.75" customHeight="1">
      <c r="K789" s="356"/>
    </row>
    <row r="790" ht="15.75" customHeight="1">
      <c r="K790" s="356"/>
    </row>
    <row r="791" ht="15.75" customHeight="1">
      <c r="K791" s="356"/>
    </row>
    <row r="792" ht="15.75" customHeight="1">
      <c r="K792" s="356"/>
    </row>
    <row r="793" ht="15.75" customHeight="1">
      <c r="K793" s="356"/>
    </row>
    <row r="794" ht="15.75" customHeight="1">
      <c r="K794" s="356"/>
    </row>
    <row r="795" ht="15.75" customHeight="1">
      <c r="K795" s="356"/>
    </row>
    <row r="796" ht="15.75" customHeight="1">
      <c r="K796" s="356"/>
    </row>
    <row r="797" ht="15.75" customHeight="1">
      <c r="K797" s="356"/>
    </row>
    <row r="798" ht="15.75" customHeight="1">
      <c r="K798" s="356"/>
    </row>
    <row r="799" ht="15.75" customHeight="1">
      <c r="K799" s="356"/>
    </row>
    <row r="800" ht="15.75" customHeight="1">
      <c r="K800" s="356"/>
    </row>
    <row r="801" ht="15.75" customHeight="1">
      <c r="K801" s="356"/>
    </row>
    <row r="802" ht="15.75" customHeight="1">
      <c r="K802" s="356"/>
    </row>
    <row r="803" ht="15.75" customHeight="1">
      <c r="K803" s="356"/>
    </row>
    <row r="804" ht="15.75" customHeight="1">
      <c r="K804" s="356"/>
    </row>
    <row r="805" ht="15.75" customHeight="1">
      <c r="K805" s="356"/>
    </row>
    <row r="806" ht="15.75" customHeight="1">
      <c r="K806" s="356"/>
    </row>
    <row r="807" ht="15.75" customHeight="1">
      <c r="K807" s="356"/>
    </row>
    <row r="808" ht="15.75" customHeight="1">
      <c r="K808" s="356"/>
    </row>
    <row r="809" ht="15.75" customHeight="1">
      <c r="K809" s="356"/>
    </row>
    <row r="810" ht="15.75" customHeight="1">
      <c r="K810" s="356"/>
    </row>
    <row r="811" ht="15.75" customHeight="1">
      <c r="K811" s="356"/>
    </row>
    <row r="812" ht="15.75" customHeight="1">
      <c r="K812" s="356"/>
    </row>
    <row r="813" ht="15.75" customHeight="1">
      <c r="K813" s="356"/>
    </row>
    <row r="814" ht="15.75" customHeight="1">
      <c r="K814" s="356"/>
    </row>
    <row r="815" ht="15.75" customHeight="1">
      <c r="K815" s="356"/>
    </row>
    <row r="816" ht="15.75" customHeight="1">
      <c r="K816" s="356"/>
    </row>
    <row r="817" ht="15.75" customHeight="1">
      <c r="K817" s="356"/>
    </row>
    <row r="818" ht="15.75" customHeight="1">
      <c r="K818" s="356"/>
    </row>
    <row r="819" ht="15.75" customHeight="1">
      <c r="K819" s="356"/>
    </row>
    <row r="820" ht="15.75" customHeight="1">
      <c r="K820" s="356"/>
    </row>
    <row r="821" ht="15.75" customHeight="1">
      <c r="K821" s="356"/>
    </row>
    <row r="822" ht="15.75" customHeight="1">
      <c r="K822" s="356"/>
    </row>
    <row r="823" ht="15.75" customHeight="1">
      <c r="K823" s="356"/>
    </row>
    <row r="824" ht="15.75" customHeight="1">
      <c r="K824" s="356"/>
    </row>
    <row r="825" ht="15.75" customHeight="1">
      <c r="K825" s="356"/>
    </row>
    <row r="826" ht="15.75" customHeight="1">
      <c r="K826" s="356"/>
    </row>
    <row r="827" ht="15.75" customHeight="1">
      <c r="K827" s="356"/>
    </row>
    <row r="828" ht="15.75" customHeight="1">
      <c r="K828" s="356"/>
    </row>
    <row r="829" ht="15.75" customHeight="1">
      <c r="K829" s="356"/>
    </row>
    <row r="830" ht="15.75" customHeight="1">
      <c r="K830" s="356"/>
    </row>
    <row r="831" ht="15.75" customHeight="1">
      <c r="K831" s="356"/>
    </row>
    <row r="832" ht="15.75" customHeight="1">
      <c r="K832" s="356"/>
    </row>
    <row r="833" ht="15.75" customHeight="1">
      <c r="K833" s="356"/>
    </row>
    <row r="834" ht="15.75" customHeight="1">
      <c r="K834" s="356"/>
    </row>
    <row r="835" ht="15.75" customHeight="1">
      <c r="K835" s="356"/>
    </row>
    <row r="836" ht="15.75" customHeight="1">
      <c r="K836" s="356"/>
    </row>
    <row r="837" ht="15.75" customHeight="1">
      <c r="K837" s="356"/>
    </row>
    <row r="838" ht="15.75" customHeight="1">
      <c r="K838" s="356"/>
    </row>
    <row r="839" ht="15.75" customHeight="1">
      <c r="K839" s="356"/>
    </row>
    <row r="840" ht="15.75" customHeight="1">
      <c r="K840" s="356"/>
    </row>
    <row r="841" ht="15.75" customHeight="1">
      <c r="K841" s="356"/>
    </row>
    <row r="842" ht="15.75" customHeight="1">
      <c r="K842" s="356"/>
    </row>
    <row r="843" ht="15.75" customHeight="1">
      <c r="K843" s="356"/>
    </row>
    <row r="844" ht="15.75" customHeight="1">
      <c r="K844" s="356"/>
    </row>
    <row r="845" ht="15.75" customHeight="1">
      <c r="K845" s="356"/>
    </row>
    <row r="846" ht="15.75" customHeight="1">
      <c r="K846" s="356"/>
    </row>
    <row r="847" ht="15.75" customHeight="1">
      <c r="K847" s="356"/>
    </row>
    <row r="848" ht="15.75" customHeight="1">
      <c r="K848" s="356"/>
    </row>
    <row r="849" ht="15.75" customHeight="1">
      <c r="K849" s="356"/>
    </row>
    <row r="850" ht="15.75" customHeight="1">
      <c r="K850" s="356"/>
    </row>
    <row r="851" ht="15.75" customHeight="1">
      <c r="K851" s="356"/>
    </row>
    <row r="852" ht="15.75" customHeight="1">
      <c r="K852" s="356"/>
    </row>
    <row r="853" ht="15.75" customHeight="1">
      <c r="K853" s="356"/>
    </row>
    <row r="854" ht="15.75" customHeight="1">
      <c r="K854" s="356"/>
    </row>
    <row r="855" ht="15.75" customHeight="1">
      <c r="K855" s="356"/>
    </row>
    <row r="856" ht="15.75" customHeight="1">
      <c r="K856" s="356"/>
    </row>
    <row r="857" ht="15.75" customHeight="1">
      <c r="K857" s="356"/>
    </row>
    <row r="858" ht="15.75" customHeight="1">
      <c r="K858" s="356"/>
    </row>
    <row r="859" ht="15.75" customHeight="1">
      <c r="K859" s="356"/>
    </row>
    <row r="860" ht="15.75" customHeight="1">
      <c r="K860" s="356"/>
    </row>
    <row r="861" ht="15.75" customHeight="1">
      <c r="K861" s="356"/>
    </row>
    <row r="862" ht="15.75" customHeight="1">
      <c r="K862" s="356"/>
    </row>
    <row r="863" ht="15.75" customHeight="1">
      <c r="K863" s="356"/>
    </row>
    <row r="864" ht="15.75" customHeight="1">
      <c r="K864" s="356"/>
    </row>
    <row r="865" ht="15.75" customHeight="1">
      <c r="K865" s="356"/>
    </row>
    <row r="866" ht="15.75" customHeight="1">
      <c r="K866" s="356"/>
    </row>
    <row r="867" ht="15.75" customHeight="1">
      <c r="K867" s="356"/>
    </row>
    <row r="868" ht="15.75" customHeight="1">
      <c r="K868" s="356"/>
    </row>
    <row r="869" ht="15.75" customHeight="1">
      <c r="K869" s="356"/>
    </row>
    <row r="870" ht="15.75" customHeight="1">
      <c r="K870" s="356"/>
    </row>
    <row r="871" ht="15.75" customHeight="1">
      <c r="K871" s="356"/>
    </row>
    <row r="872" ht="15.75" customHeight="1">
      <c r="K872" s="356"/>
    </row>
    <row r="873" ht="15.75" customHeight="1">
      <c r="K873" s="356"/>
    </row>
    <row r="874" ht="15.75" customHeight="1">
      <c r="K874" s="356"/>
    </row>
    <row r="875" ht="15.75" customHeight="1">
      <c r="K875" s="356"/>
    </row>
    <row r="876" ht="15.75" customHeight="1">
      <c r="K876" s="356"/>
    </row>
    <row r="877" ht="15.75" customHeight="1">
      <c r="K877" s="356"/>
    </row>
    <row r="878" ht="15.75" customHeight="1">
      <c r="K878" s="356"/>
    </row>
    <row r="879" ht="15.75" customHeight="1">
      <c r="K879" s="356"/>
    </row>
    <row r="880" ht="15.75" customHeight="1">
      <c r="K880" s="356"/>
    </row>
    <row r="881" ht="15.75" customHeight="1">
      <c r="K881" s="356"/>
    </row>
    <row r="882" ht="15.75" customHeight="1">
      <c r="K882" s="356"/>
    </row>
    <row r="883" ht="15.75" customHeight="1">
      <c r="K883" s="356"/>
    </row>
    <row r="884" ht="15.75" customHeight="1">
      <c r="K884" s="356"/>
    </row>
    <row r="885" ht="15.75" customHeight="1">
      <c r="K885" s="356"/>
    </row>
    <row r="886" ht="15.75" customHeight="1">
      <c r="K886" s="356"/>
    </row>
    <row r="887" ht="15.75" customHeight="1">
      <c r="K887" s="356"/>
    </row>
    <row r="888" ht="15.75" customHeight="1">
      <c r="K888" s="356"/>
    </row>
    <row r="889" ht="15.75" customHeight="1">
      <c r="K889" s="356"/>
    </row>
    <row r="890" ht="15.75" customHeight="1">
      <c r="K890" s="356"/>
    </row>
    <row r="891" ht="15.75" customHeight="1">
      <c r="K891" s="356"/>
    </row>
    <row r="892" ht="15.75" customHeight="1">
      <c r="K892" s="356"/>
    </row>
    <row r="893" ht="15.75" customHeight="1">
      <c r="K893" s="356"/>
    </row>
    <row r="894" ht="15.75" customHeight="1">
      <c r="K894" s="356"/>
    </row>
    <row r="895" ht="15.75" customHeight="1">
      <c r="K895" s="356"/>
    </row>
    <row r="896" ht="15.75" customHeight="1">
      <c r="K896" s="356"/>
    </row>
    <row r="897" ht="15.75" customHeight="1">
      <c r="K897" s="356"/>
    </row>
    <row r="898" ht="15.75" customHeight="1">
      <c r="K898" s="356"/>
    </row>
    <row r="899" ht="15.75" customHeight="1">
      <c r="K899" s="356"/>
    </row>
    <row r="900" ht="15.75" customHeight="1">
      <c r="K900" s="356"/>
    </row>
    <row r="901" ht="15.75" customHeight="1">
      <c r="K901" s="356"/>
    </row>
    <row r="902" ht="15.75" customHeight="1">
      <c r="K902" s="356"/>
    </row>
    <row r="903" ht="15.75" customHeight="1">
      <c r="K903" s="356"/>
    </row>
    <row r="904" ht="15.75" customHeight="1">
      <c r="K904" s="356"/>
    </row>
    <row r="905" ht="15.75" customHeight="1">
      <c r="K905" s="356"/>
    </row>
    <row r="906" ht="15.75" customHeight="1">
      <c r="K906" s="356"/>
    </row>
    <row r="907" ht="15.75" customHeight="1">
      <c r="K907" s="356"/>
    </row>
    <row r="908" ht="15.75" customHeight="1">
      <c r="K908" s="356"/>
    </row>
    <row r="909" ht="15.75" customHeight="1">
      <c r="K909" s="356"/>
    </row>
    <row r="910" ht="15.75" customHeight="1">
      <c r="K910" s="356"/>
    </row>
    <row r="911" ht="15.75" customHeight="1">
      <c r="K911" s="356"/>
    </row>
    <row r="912" ht="15.75" customHeight="1">
      <c r="K912" s="356"/>
    </row>
    <row r="913" ht="15.75" customHeight="1">
      <c r="K913" s="356"/>
    </row>
    <row r="914" ht="15.75" customHeight="1">
      <c r="K914" s="356"/>
    </row>
    <row r="915" ht="15.75" customHeight="1">
      <c r="K915" s="356"/>
    </row>
    <row r="916" ht="15.75" customHeight="1">
      <c r="K916" s="356"/>
    </row>
    <row r="917" ht="15.75" customHeight="1">
      <c r="K917" s="356"/>
    </row>
    <row r="918" ht="15.75" customHeight="1">
      <c r="K918" s="356"/>
    </row>
    <row r="919" ht="15.75" customHeight="1">
      <c r="K919" s="356"/>
    </row>
    <row r="920" ht="15.75" customHeight="1">
      <c r="K920" s="356"/>
    </row>
    <row r="921" ht="15.75" customHeight="1">
      <c r="K921" s="356"/>
    </row>
    <row r="922" ht="15.75" customHeight="1">
      <c r="K922" s="356"/>
    </row>
    <row r="923" ht="15.75" customHeight="1">
      <c r="K923" s="356"/>
    </row>
    <row r="924" ht="15.75" customHeight="1">
      <c r="K924" s="356"/>
    </row>
    <row r="925" ht="15.75" customHeight="1">
      <c r="K925" s="356"/>
    </row>
    <row r="926" ht="15.75" customHeight="1">
      <c r="K926" s="356"/>
    </row>
    <row r="927" ht="15.75" customHeight="1">
      <c r="K927" s="356"/>
    </row>
    <row r="928" ht="15.75" customHeight="1">
      <c r="K928" s="356"/>
    </row>
    <row r="929" ht="15.75" customHeight="1">
      <c r="K929" s="356"/>
    </row>
    <row r="930" ht="15.75" customHeight="1">
      <c r="K930" s="356"/>
    </row>
    <row r="931" ht="15.75" customHeight="1">
      <c r="K931" s="356"/>
    </row>
    <row r="932" ht="15.75" customHeight="1">
      <c r="K932" s="356"/>
    </row>
    <row r="933" ht="15.75" customHeight="1">
      <c r="K933" s="356"/>
    </row>
    <row r="934" ht="15.75" customHeight="1">
      <c r="K934" s="356"/>
    </row>
    <row r="935" ht="15.75" customHeight="1">
      <c r="K935" s="356"/>
    </row>
    <row r="936" ht="15.75" customHeight="1">
      <c r="K936" s="356"/>
    </row>
    <row r="937" ht="15.75" customHeight="1">
      <c r="K937" s="356"/>
    </row>
    <row r="938" ht="15.75" customHeight="1">
      <c r="K938" s="356"/>
    </row>
    <row r="939" ht="15.75" customHeight="1">
      <c r="K939" s="356"/>
    </row>
    <row r="940" ht="15.75" customHeight="1">
      <c r="K940" s="356"/>
    </row>
    <row r="941" ht="15.75" customHeight="1">
      <c r="K941" s="356"/>
    </row>
    <row r="942" ht="15.75" customHeight="1">
      <c r="K942" s="356"/>
    </row>
    <row r="943" ht="15.75" customHeight="1">
      <c r="K943" s="356"/>
    </row>
    <row r="944" ht="15.75" customHeight="1">
      <c r="K944" s="356"/>
    </row>
    <row r="945" ht="15.75" customHeight="1">
      <c r="K945" s="356"/>
    </row>
    <row r="946" ht="15.75" customHeight="1">
      <c r="K946" s="356"/>
    </row>
    <row r="947" ht="15.75" customHeight="1">
      <c r="K947" s="356"/>
    </row>
    <row r="948" ht="15.75" customHeight="1">
      <c r="K948" s="356"/>
    </row>
    <row r="949" ht="15.75" customHeight="1">
      <c r="K949" s="356"/>
    </row>
    <row r="950" ht="15.75" customHeight="1">
      <c r="K950" s="356"/>
    </row>
    <row r="951" ht="15.75" customHeight="1">
      <c r="K951" s="356"/>
    </row>
    <row r="952" ht="15.75" customHeight="1">
      <c r="K952" s="356"/>
    </row>
    <row r="953" ht="15.75" customHeight="1">
      <c r="K953" s="356"/>
    </row>
    <row r="954" ht="15.75" customHeight="1">
      <c r="K954" s="356"/>
    </row>
    <row r="955" ht="15.75" customHeight="1">
      <c r="K955" s="356"/>
    </row>
    <row r="956" ht="15.75" customHeight="1">
      <c r="K956" s="356"/>
    </row>
    <row r="957" ht="15.75" customHeight="1">
      <c r="K957" s="356"/>
    </row>
    <row r="958" ht="15.75" customHeight="1">
      <c r="K958" s="356"/>
    </row>
    <row r="959" ht="15.75" customHeight="1">
      <c r="K959" s="356"/>
    </row>
    <row r="960" ht="15.75" customHeight="1">
      <c r="K960" s="356"/>
    </row>
    <row r="961" ht="15.75" customHeight="1">
      <c r="K961" s="356"/>
    </row>
    <row r="962" ht="15.75" customHeight="1">
      <c r="K962" s="356"/>
    </row>
    <row r="963" ht="15.75" customHeight="1">
      <c r="K963" s="356"/>
    </row>
    <row r="964" ht="15.75" customHeight="1">
      <c r="K964" s="356"/>
    </row>
    <row r="965" ht="15.75" customHeight="1">
      <c r="K965" s="356"/>
    </row>
    <row r="966" ht="15.75" customHeight="1">
      <c r="K966" s="356"/>
    </row>
    <row r="967" ht="15.75" customHeight="1">
      <c r="K967" s="356"/>
    </row>
    <row r="968" ht="15.75" customHeight="1">
      <c r="K968" s="356"/>
    </row>
    <row r="969" ht="15.75" customHeight="1">
      <c r="K969" s="356"/>
    </row>
    <row r="970" ht="15.75" customHeight="1">
      <c r="K970" s="356"/>
    </row>
    <row r="971" ht="15.75" customHeight="1">
      <c r="K971" s="356"/>
    </row>
    <row r="972" ht="15.75" customHeight="1">
      <c r="K972" s="356"/>
    </row>
    <row r="973" ht="15.75" customHeight="1">
      <c r="K973" s="356"/>
    </row>
    <row r="974" ht="15.75" customHeight="1">
      <c r="K974" s="356"/>
    </row>
    <row r="975" ht="15.75" customHeight="1">
      <c r="K975" s="356"/>
    </row>
    <row r="976" ht="15.75" customHeight="1">
      <c r="K976" s="356"/>
    </row>
    <row r="977" ht="15.75" customHeight="1">
      <c r="K977" s="356"/>
    </row>
    <row r="978" ht="15.75" customHeight="1">
      <c r="K978" s="356"/>
    </row>
    <row r="979" ht="15.75" customHeight="1">
      <c r="K979" s="356"/>
    </row>
    <row r="980" ht="15.75" customHeight="1">
      <c r="K980" s="356"/>
    </row>
    <row r="981" ht="15.75" customHeight="1">
      <c r="K981" s="356"/>
    </row>
    <row r="982" ht="15.75" customHeight="1">
      <c r="K982" s="356"/>
    </row>
    <row r="983" ht="15.75" customHeight="1">
      <c r="K983" s="356"/>
    </row>
    <row r="984" ht="15.75" customHeight="1">
      <c r="K984" s="356"/>
    </row>
    <row r="985" ht="15.75" customHeight="1">
      <c r="K985" s="356"/>
    </row>
    <row r="986" ht="15.75" customHeight="1">
      <c r="K986" s="356"/>
    </row>
    <row r="987" ht="15.75" customHeight="1">
      <c r="K987" s="356"/>
    </row>
    <row r="988" ht="15.75" customHeight="1">
      <c r="K988" s="356"/>
    </row>
    <row r="989" ht="15.75" customHeight="1">
      <c r="K989" s="356"/>
    </row>
    <row r="990" ht="15.75" customHeight="1">
      <c r="K990" s="356"/>
    </row>
    <row r="991" ht="15.75" customHeight="1">
      <c r="K991" s="356"/>
    </row>
    <row r="992" ht="15.75" customHeight="1">
      <c r="K992" s="356"/>
    </row>
    <row r="993" ht="15.75" customHeight="1">
      <c r="K993" s="356"/>
    </row>
    <row r="994" ht="15.75" customHeight="1">
      <c r="K994" s="356"/>
    </row>
    <row r="995" ht="15.75" customHeight="1">
      <c r="K995" s="356"/>
    </row>
    <row r="996" ht="15.75" customHeight="1">
      <c r="K996" s="356"/>
    </row>
    <row r="997" ht="15.75" customHeight="1">
      <c r="K997" s="356"/>
    </row>
    <row r="998" ht="15.75" customHeight="1">
      <c r="K998" s="356"/>
    </row>
    <row r="999" ht="15.75" customHeight="1">
      <c r="K999" s="356"/>
    </row>
    <row r="1000" ht="15.75" customHeight="1">
      <c r="K1000" s="356"/>
    </row>
    <row r="1001" ht="15.75" customHeight="1">
      <c r="K1001" s="356"/>
    </row>
    <row r="1002" ht="15.75" customHeight="1">
      <c r="K1002" s="356"/>
    </row>
    <row r="1003" ht="15.75" customHeight="1">
      <c r="K1003" s="356"/>
    </row>
    <row r="1004" ht="15.75" customHeight="1">
      <c r="K1004" s="356"/>
    </row>
    <row r="1005" ht="15.75" customHeight="1">
      <c r="K1005" s="356"/>
    </row>
    <row r="1006" ht="15.75" customHeight="1">
      <c r="K1006" s="356"/>
    </row>
    <row r="1007" ht="15.75" customHeight="1">
      <c r="K1007" s="356"/>
    </row>
    <row r="1008" ht="15.75" customHeight="1">
      <c r="K1008" s="356"/>
    </row>
    <row r="1009" ht="15.75" customHeight="1">
      <c r="K1009" s="356"/>
    </row>
    <row r="1010" ht="15.75" customHeight="1">
      <c r="K1010" s="356"/>
    </row>
    <row r="1011" ht="15.75" customHeight="1">
      <c r="K1011" s="356"/>
    </row>
    <row r="1012" ht="15.75" customHeight="1">
      <c r="K1012" s="356"/>
    </row>
    <row r="1013" ht="15.75" customHeight="1">
      <c r="K1013" s="356"/>
    </row>
    <row r="1014" ht="15.75" customHeight="1">
      <c r="K1014" s="356"/>
    </row>
    <row r="1015" ht="15.75" customHeight="1">
      <c r="K1015" s="356"/>
    </row>
    <row r="1016" ht="15.75" customHeight="1">
      <c r="K1016" s="356"/>
    </row>
    <row r="1017" ht="15.75" customHeight="1">
      <c r="K1017" s="356"/>
    </row>
    <row r="1018" ht="15.75" customHeight="1">
      <c r="K1018" s="356"/>
    </row>
    <row r="1019" ht="15.75" customHeight="1">
      <c r="K1019" s="356"/>
    </row>
    <row r="1020" ht="15.75" customHeight="1">
      <c r="K1020" s="356"/>
    </row>
    <row r="1021" ht="15.75" customHeight="1">
      <c r="K1021" s="356"/>
    </row>
    <row r="1022" ht="15.75" customHeight="1">
      <c r="K1022" s="356"/>
    </row>
    <row r="1023" ht="15.75" customHeight="1">
      <c r="K1023" s="356"/>
    </row>
    <row r="1024" ht="15.75" customHeight="1">
      <c r="K1024" s="356"/>
    </row>
    <row r="1025" ht="15.75" customHeight="1">
      <c r="K1025" s="356"/>
    </row>
    <row r="1026" ht="15.75" customHeight="1">
      <c r="K1026" s="356"/>
    </row>
    <row r="1027" ht="15.75" customHeight="1">
      <c r="K1027" s="356"/>
    </row>
    <row r="1028" ht="15.75" customHeight="1">
      <c r="K1028" s="356"/>
    </row>
    <row r="1029" ht="15.75" customHeight="1">
      <c r="K1029" s="356"/>
    </row>
    <row r="1030" ht="15.75" customHeight="1">
      <c r="K1030" s="356"/>
    </row>
    <row r="1031" ht="15.75" customHeight="1">
      <c r="K1031" s="356"/>
    </row>
    <row r="1032" ht="15.75" customHeight="1">
      <c r="K1032" s="356"/>
    </row>
    <row r="1033" ht="15.75" customHeight="1">
      <c r="K1033" s="356"/>
    </row>
    <row r="1034" ht="15.75" customHeight="1">
      <c r="K1034" s="356"/>
    </row>
    <row r="1035" ht="15.75" customHeight="1">
      <c r="K1035" s="356"/>
    </row>
    <row r="1036" ht="15.75" customHeight="1">
      <c r="K1036" s="356"/>
    </row>
    <row r="1037" ht="15.75" customHeight="1">
      <c r="K1037" s="356"/>
    </row>
    <row r="1038" ht="15.75" customHeight="1">
      <c r="K1038" s="356"/>
    </row>
    <row r="1039" ht="15.75" customHeight="1">
      <c r="K1039" s="356"/>
    </row>
    <row r="1040" ht="15.75" customHeight="1">
      <c r="K1040" s="356"/>
    </row>
    <row r="1041" ht="15.75" customHeight="1">
      <c r="K1041" s="356"/>
    </row>
    <row r="1042" ht="15.75" customHeight="1">
      <c r="K1042" s="356"/>
    </row>
    <row r="1043" ht="15.75" customHeight="1">
      <c r="K1043" s="356"/>
    </row>
    <row r="1044" ht="15.75" customHeight="1">
      <c r="K1044" s="356"/>
    </row>
    <row r="1045" ht="15.75" customHeight="1">
      <c r="K1045" s="356"/>
    </row>
    <row r="1046" ht="15.75" customHeight="1">
      <c r="K1046" s="356"/>
    </row>
    <row r="1047" ht="15.75" customHeight="1">
      <c r="K1047" s="356"/>
    </row>
    <row r="1048" ht="15.75" customHeight="1">
      <c r="K1048" s="356"/>
    </row>
    <row r="1049" ht="15.75" customHeight="1">
      <c r="K1049" s="356"/>
    </row>
    <row r="1050" ht="15.75" customHeight="1">
      <c r="K1050" s="356"/>
    </row>
    <row r="1051" ht="15.75" customHeight="1">
      <c r="K1051" s="356"/>
    </row>
    <row r="1052" ht="15.75" customHeight="1">
      <c r="K1052" s="356"/>
    </row>
    <row r="1053" ht="15.75" customHeight="1">
      <c r="K1053" s="356"/>
    </row>
    <row r="1054" ht="15.75" customHeight="1">
      <c r="K1054" s="356"/>
    </row>
    <row r="1055" ht="15.75" customHeight="1">
      <c r="K1055" s="356"/>
    </row>
    <row r="1056" ht="15.75" customHeight="1">
      <c r="K1056" s="356"/>
    </row>
    <row r="1057" ht="15.75" customHeight="1">
      <c r="K1057" s="356"/>
    </row>
    <row r="1058" ht="15.75" customHeight="1">
      <c r="K1058" s="356"/>
    </row>
    <row r="1059" ht="15.75" customHeight="1">
      <c r="K1059" s="356"/>
    </row>
    <row r="1060" ht="15.75" customHeight="1">
      <c r="K1060" s="356"/>
    </row>
    <row r="1061" ht="15.75" customHeight="1">
      <c r="K1061" s="356"/>
    </row>
    <row r="1062" ht="15.75" customHeight="1">
      <c r="K1062" s="356"/>
    </row>
    <row r="1063" ht="15.75" customHeight="1">
      <c r="K1063" s="356"/>
    </row>
    <row r="1064" ht="15.75" customHeight="1">
      <c r="K1064" s="356"/>
    </row>
    <row r="1065" ht="15.75" customHeight="1">
      <c r="K1065" s="356"/>
    </row>
    <row r="1066" ht="15.75" customHeight="1">
      <c r="K1066" s="356"/>
    </row>
    <row r="1067" ht="15.75" customHeight="1">
      <c r="K1067" s="356"/>
    </row>
    <row r="1068" ht="15.75" customHeight="1">
      <c r="K1068" s="356"/>
    </row>
    <row r="1069" ht="15.75" customHeight="1">
      <c r="K1069" s="356"/>
    </row>
    <row r="1070" ht="15.75" customHeight="1">
      <c r="K1070" s="356"/>
    </row>
    <row r="1071" ht="15.75" customHeight="1">
      <c r="K1071" s="356"/>
    </row>
    <row r="1072" ht="15.75" customHeight="1">
      <c r="K1072" s="356"/>
    </row>
    <row r="1073" ht="15.75" customHeight="1">
      <c r="K1073" s="356"/>
    </row>
    <row r="1074" ht="15.75" customHeight="1">
      <c r="K1074" s="356"/>
    </row>
    <row r="1075" ht="15.75" customHeight="1">
      <c r="K1075" s="356"/>
    </row>
    <row r="1076" ht="15.75" customHeight="1">
      <c r="K1076" s="356"/>
    </row>
    <row r="1077" ht="15.75" customHeight="1">
      <c r="K1077" s="356"/>
    </row>
    <row r="1078" ht="15.75" customHeight="1">
      <c r="K1078" s="356"/>
    </row>
    <row r="1079" ht="15.75" customHeight="1">
      <c r="K1079" s="356"/>
    </row>
    <row r="1080" ht="15.75" customHeight="1">
      <c r="K1080" s="356"/>
    </row>
    <row r="1081" ht="15.75" customHeight="1">
      <c r="K1081" s="356"/>
    </row>
  </sheetData>
  <dataValidations>
    <dataValidation type="list" allowBlank="1" sqref="Q2:Q122">
      <formula1>"1,2,3,4,5,6,7,8,9,10,11,12,Total"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18.43"/>
    <col customWidth="1" min="3" max="3" width="18.57"/>
    <col customWidth="1" min="4" max="4" width="21.43"/>
    <col customWidth="1" min="5" max="5" width="22.29"/>
    <col customWidth="1" min="6" max="6" width="15.43"/>
    <col customWidth="1" min="7" max="7" width="23.0"/>
  </cols>
  <sheetData>
    <row r="1" ht="22.5" customHeight="1">
      <c r="A1" s="357" t="s">
        <v>298</v>
      </c>
      <c r="B1" s="357" t="s">
        <v>275</v>
      </c>
      <c r="C1" s="357" t="s">
        <v>491</v>
      </c>
      <c r="D1" s="357" t="s">
        <v>492</v>
      </c>
      <c r="E1" s="357" t="s">
        <v>493</v>
      </c>
      <c r="F1" s="357" t="s">
        <v>494</v>
      </c>
      <c r="G1" s="357" t="s">
        <v>495</v>
      </c>
    </row>
    <row r="2" ht="22.5" customHeight="1">
      <c r="A2" s="123" t="s">
        <v>293</v>
      </c>
      <c r="B2" s="122" t="s">
        <v>294</v>
      </c>
      <c r="C2" s="358">
        <v>0.3</v>
      </c>
      <c r="D2" s="358">
        <v>1.0</v>
      </c>
      <c r="E2" s="358">
        <v>12.0</v>
      </c>
      <c r="F2" s="359"/>
      <c r="G2" s="358">
        <v>0.0</v>
      </c>
    </row>
    <row r="3" ht="22.5" customHeight="1">
      <c r="A3" s="123" t="s">
        <v>314</v>
      </c>
      <c r="B3" s="122" t="s">
        <v>294</v>
      </c>
      <c r="C3" s="358">
        <v>2.58</v>
      </c>
      <c r="D3" s="358">
        <v>3.0</v>
      </c>
      <c r="E3" s="358">
        <v>24.0</v>
      </c>
      <c r="F3" s="359"/>
      <c r="G3" s="358">
        <v>0.0</v>
      </c>
    </row>
    <row r="4" ht="22.5" customHeight="1">
      <c r="A4" s="123" t="s">
        <v>315</v>
      </c>
      <c r="B4" s="122" t="s">
        <v>294</v>
      </c>
      <c r="C4" s="358">
        <v>2.91</v>
      </c>
      <c r="D4" s="358">
        <v>4.0</v>
      </c>
      <c r="E4" s="358">
        <v>24.0</v>
      </c>
      <c r="F4" s="359"/>
      <c r="G4" s="358">
        <v>0.0</v>
      </c>
    </row>
    <row r="5" ht="22.5" customHeight="1">
      <c r="A5" s="123" t="s">
        <v>496</v>
      </c>
      <c r="B5" s="122" t="s">
        <v>294</v>
      </c>
      <c r="C5" s="358">
        <v>1.75</v>
      </c>
      <c r="D5" s="358">
        <v>2.0</v>
      </c>
      <c r="E5" s="358">
        <v>24.0</v>
      </c>
      <c r="G5" s="358">
        <v>0.0</v>
      </c>
    </row>
    <row r="6" ht="22.5" customHeight="1">
      <c r="A6" s="123" t="s">
        <v>317</v>
      </c>
      <c r="B6" s="122" t="s">
        <v>294</v>
      </c>
      <c r="C6" s="358">
        <v>2.5</v>
      </c>
      <c r="D6" s="358">
        <v>3.0</v>
      </c>
      <c r="E6" s="358">
        <v>24.0</v>
      </c>
      <c r="G6" s="358">
        <v>0.0</v>
      </c>
    </row>
    <row r="7" ht="22.5" customHeight="1">
      <c r="A7" s="123" t="s">
        <v>318</v>
      </c>
      <c r="B7" s="122" t="s">
        <v>294</v>
      </c>
      <c r="C7" s="358">
        <v>8.54</v>
      </c>
      <c r="D7" s="358">
        <v>10.0</v>
      </c>
      <c r="E7" s="358">
        <v>24.0</v>
      </c>
      <c r="G7" s="358">
        <v>0.0</v>
      </c>
    </row>
    <row r="8" ht="22.5" customHeight="1">
      <c r="A8" s="123" t="s">
        <v>293</v>
      </c>
      <c r="B8" s="122" t="s">
        <v>294</v>
      </c>
      <c r="C8" s="358">
        <v>0.33</v>
      </c>
      <c r="D8" s="358">
        <v>1.0</v>
      </c>
      <c r="E8" s="358">
        <v>12.0</v>
      </c>
      <c r="G8" s="358">
        <v>0.0</v>
      </c>
    </row>
    <row r="9" ht="22.5" customHeight="1">
      <c r="A9" s="123" t="s">
        <v>314</v>
      </c>
      <c r="B9" s="122" t="s">
        <v>294</v>
      </c>
      <c r="C9" s="358">
        <v>2.58</v>
      </c>
      <c r="D9" s="358">
        <v>3.0</v>
      </c>
      <c r="E9" s="358">
        <v>24.0</v>
      </c>
      <c r="G9" s="358">
        <v>0.0</v>
      </c>
    </row>
    <row r="10" ht="22.5" customHeight="1">
      <c r="A10" s="123" t="s">
        <v>315</v>
      </c>
      <c r="B10" s="122" t="s">
        <v>294</v>
      </c>
      <c r="C10" s="358">
        <v>2.83</v>
      </c>
      <c r="D10" s="358">
        <v>4.0</v>
      </c>
      <c r="E10" s="358">
        <v>24.0</v>
      </c>
      <c r="G10" s="358">
        <v>0.0</v>
      </c>
    </row>
    <row r="11" ht="22.5" customHeight="1">
      <c r="A11" s="123" t="s">
        <v>496</v>
      </c>
      <c r="B11" s="122" t="s">
        <v>294</v>
      </c>
      <c r="C11" s="358">
        <v>1.75</v>
      </c>
      <c r="D11" s="358">
        <v>2.0</v>
      </c>
      <c r="E11" s="358">
        <v>24.0</v>
      </c>
      <c r="G11" s="358">
        <v>0.0</v>
      </c>
    </row>
    <row r="12" ht="22.5" customHeight="1">
      <c r="A12" s="123" t="s">
        <v>317</v>
      </c>
      <c r="B12" s="122" t="s">
        <v>294</v>
      </c>
      <c r="C12" s="358">
        <v>2.5</v>
      </c>
      <c r="D12" s="358">
        <v>3.0</v>
      </c>
      <c r="E12" s="358">
        <v>24.0</v>
      </c>
      <c r="G12" s="358">
        <v>0.0</v>
      </c>
    </row>
    <row r="13" ht="22.5" customHeight="1">
      <c r="A13" s="119" t="s">
        <v>319</v>
      </c>
      <c r="B13" s="122" t="s">
        <v>294</v>
      </c>
      <c r="C13" s="358">
        <v>0.6</v>
      </c>
      <c r="D13" s="358">
        <v>1.0</v>
      </c>
      <c r="E13" s="358">
        <v>24.0</v>
      </c>
      <c r="G13" s="358">
        <v>0.0</v>
      </c>
    </row>
    <row r="14" ht="22.5" customHeight="1">
      <c r="A14" s="123" t="s">
        <v>325</v>
      </c>
      <c r="B14" s="122" t="s">
        <v>294</v>
      </c>
      <c r="C14" s="358">
        <v>2.41</v>
      </c>
      <c r="D14" s="358">
        <v>3.0</v>
      </c>
      <c r="E14" s="358">
        <v>24.0</v>
      </c>
      <c r="G14" s="358">
        <v>0.0</v>
      </c>
    </row>
    <row r="15" ht="22.5" customHeight="1">
      <c r="A15" s="123" t="s">
        <v>326</v>
      </c>
      <c r="B15" s="122" t="s">
        <v>294</v>
      </c>
      <c r="C15" s="358">
        <v>3.05</v>
      </c>
      <c r="D15" s="358">
        <v>4.0</v>
      </c>
      <c r="E15" s="358">
        <v>18.0</v>
      </c>
      <c r="G15" s="358">
        <v>0.0</v>
      </c>
    </row>
    <row r="16" ht="22.5" customHeight="1">
      <c r="A16" s="123" t="s">
        <v>293</v>
      </c>
      <c r="B16" s="122" t="s">
        <v>294</v>
      </c>
      <c r="C16" s="358">
        <v>0.3</v>
      </c>
      <c r="D16" s="358">
        <v>1.0</v>
      </c>
      <c r="E16" s="358">
        <v>12.0</v>
      </c>
      <c r="G16" s="358">
        <v>0.0</v>
      </c>
    </row>
    <row r="17" ht="22.5" customHeight="1">
      <c r="A17" s="123" t="s">
        <v>315</v>
      </c>
      <c r="B17" s="122" t="s">
        <v>294</v>
      </c>
      <c r="C17" s="358">
        <v>2.87</v>
      </c>
      <c r="D17" s="358">
        <v>4.0</v>
      </c>
      <c r="E17" s="358">
        <v>24.0</v>
      </c>
      <c r="G17" s="358">
        <v>0.0</v>
      </c>
    </row>
    <row r="18" ht="22.5" customHeight="1">
      <c r="A18" s="119" t="s">
        <v>328</v>
      </c>
      <c r="B18" s="122" t="s">
        <v>294</v>
      </c>
      <c r="C18" s="358">
        <v>2.87</v>
      </c>
      <c r="D18" s="358">
        <v>3.0</v>
      </c>
      <c r="E18" s="358">
        <v>24.0</v>
      </c>
      <c r="G18" s="358">
        <v>0.0</v>
      </c>
    </row>
    <row r="19" ht="22.5" customHeight="1">
      <c r="A19" s="119" t="s">
        <v>329</v>
      </c>
      <c r="B19" s="122" t="s">
        <v>294</v>
      </c>
      <c r="C19" s="358">
        <v>1.16</v>
      </c>
      <c r="D19" s="358">
        <v>2.0</v>
      </c>
      <c r="E19" s="358">
        <v>18.0</v>
      </c>
      <c r="G19" s="358">
        <v>0.0</v>
      </c>
    </row>
    <row r="20" ht="22.5" customHeight="1">
      <c r="A20" s="119" t="s">
        <v>320</v>
      </c>
      <c r="B20" s="122" t="s">
        <v>294</v>
      </c>
      <c r="C20" s="358">
        <v>2.16</v>
      </c>
      <c r="D20" s="358">
        <v>3.0</v>
      </c>
      <c r="E20" s="358">
        <v>18.0</v>
      </c>
      <c r="G20" s="358">
        <v>0.0</v>
      </c>
    </row>
    <row r="21" ht="22.5" customHeight="1">
      <c r="A21" s="123" t="s">
        <v>330</v>
      </c>
      <c r="B21" s="122" t="s">
        <v>294</v>
      </c>
      <c r="C21" s="358">
        <v>2.95</v>
      </c>
      <c r="D21" s="358">
        <v>4.0</v>
      </c>
      <c r="E21" s="358">
        <v>24.0</v>
      </c>
      <c r="G21" s="358">
        <v>0.0</v>
      </c>
    </row>
    <row r="22" ht="22.5" customHeight="1">
      <c r="A22" s="123" t="s">
        <v>331</v>
      </c>
      <c r="B22" s="360"/>
      <c r="C22" s="358">
        <v>0.0</v>
      </c>
      <c r="D22" s="358">
        <v>0.0</v>
      </c>
      <c r="E22" s="358">
        <v>0.0</v>
      </c>
      <c r="G22" s="358">
        <v>0.0</v>
      </c>
    </row>
    <row r="23" ht="22.5" customHeight="1">
      <c r="A23" s="123" t="s">
        <v>332</v>
      </c>
      <c r="B23" s="122" t="s">
        <v>294</v>
      </c>
      <c r="C23" s="358">
        <v>0.6</v>
      </c>
      <c r="D23" s="358">
        <v>1.0</v>
      </c>
      <c r="E23" s="358">
        <v>24.0</v>
      </c>
      <c r="G23" s="358">
        <v>0.0</v>
      </c>
    </row>
    <row r="24" ht="22.5" customHeight="1">
      <c r="A24" s="123" t="s">
        <v>315</v>
      </c>
      <c r="B24" s="122" t="s">
        <v>294</v>
      </c>
      <c r="C24" s="358">
        <v>2.91</v>
      </c>
      <c r="D24" s="358">
        <v>4.0</v>
      </c>
      <c r="E24" s="358">
        <v>24.0</v>
      </c>
      <c r="G24" s="358">
        <v>0.0</v>
      </c>
    </row>
    <row r="25" ht="22.5" customHeight="1">
      <c r="A25" s="123" t="s">
        <v>333</v>
      </c>
      <c r="B25" s="122" t="s">
        <v>294</v>
      </c>
      <c r="C25" s="358">
        <v>4.45</v>
      </c>
      <c r="D25" s="358">
        <v>6.0</v>
      </c>
      <c r="E25" s="358">
        <v>24.0</v>
      </c>
      <c r="G25" s="358">
        <v>0.0</v>
      </c>
    </row>
    <row r="26" ht="22.5" customHeight="1">
      <c r="A26" s="123" t="s">
        <v>317</v>
      </c>
      <c r="B26" s="122" t="s">
        <v>294</v>
      </c>
      <c r="C26" s="358">
        <v>2.5</v>
      </c>
      <c r="D26" s="358">
        <v>3.0</v>
      </c>
      <c r="E26" s="358">
        <v>24.0</v>
      </c>
      <c r="G26" s="358">
        <v>0.0</v>
      </c>
    </row>
    <row r="27" ht="22.5" customHeight="1">
      <c r="A27" s="123" t="s">
        <v>334</v>
      </c>
      <c r="B27" s="122" t="s">
        <v>294</v>
      </c>
      <c r="C27" s="358">
        <v>3.66</v>
      </c>
      <c r="D27" s="358">
        <v>5.0</v>
      </c>
      <c r="E27" s="358">
        <v>24.0</v>
      </c>
      <c r="G27" s="358">
        <v>0.0</v>
      </c>
    </row>
    <row r="28" ht="22.5" customHeight="1">
      <c r="A28" s="123" t="s">
        <v>314</v>
      </c>
      <c r="B28" s="122" t="s">
        <v>294</v>
      </c>
      <c r="C28" s="358">
        <v>2.7</v>
      </c>
      <c r="D28" s="358">
        <v>4.0</v>
      </c>
      <c r="E28" s="358">
        <v>24.0</v>
      </c>
      <c r="G28" s="358">
        <v>0.0</v>
      </c>
    </row>
    <row r="29" ht="22.5" customHeight="1">
      <c r="A29" s="123" t="s">
        <v>335</v>
      </c>
      <c r="B29" s="122" t="s">
        <v>294</v>
      </c>
      <c r="C29" s="358">
        <v>0.45</v>
      </c>
      <c r="D29" s="358">
        <v>1.0</v>
      </c>
      <c r="E29" s="358">
        <v>24.0</v>
      </c>
      <c r="G29" s="358">
        <v>0.0</v>
      </c>
    </row>
    <row r="30" ht="22.5" customHeight="1">
      <c r="A30" s="123" t="s">
        <v>336</v>
      </c>
      <c r="B30" s="122" t="s">
        <v>294</v>
      </c>
      <c r="C30" s="358">
        <v>0.3</v>
      </c>
      <c r="D30" s="358">
        <v>1.0</v>
      </c>
      <c r="E30" s="358">
        <v>12.0</v>
      </c>
      <c r="G30" s="358">
        <v>0.0</v>
      </c>
    </row>
    <row r="31" ht="22.5" customHeight="1">
      <c r="A31" s="123" t="s">
        <v>337</v>
      </c>
      <c r="B31" s="122" t="s">
        <v>294</v>
      </c>
      <c r="C31" s="358">
        <v>3.75</v>
      </c>
      <c r="D31" s="358">
        <v>5.0</v>
      </c>
      <c r="E31" s="358">
        <v>24.0</v>
      </c>
      <c r="G31" s="358">
        <v>0.0</v>
      </c>
    </row>
    <row r="32" ht="22.5" customHeight="1">
      <c r="A32" s="123" t="s">
        <v>338</v>
      </c>
      <c r="B32" s="360"/>
      <c r="C32" s="358">
        <v>0.0</v>
      </c>
      <c r="D32" s="358">
        <v>0.0</v>
      </c>
      <c r="E32" s="358">
        <v>0.0</v>
      </c>
      <c r="G32" s="358">
        <v>0.0</v>
      </c>
    </row>
    <row r="33" ht="22.5" customHeight="1">
      <c r="A33" s="123" t="s">
        <v>339</v>
      </c>
      <c r="B33" s="360"/>
      <c r="C33" s="358">
        <v>0.0</v>
      </c>
      <c r="D33" s="358">
        <v>0.0</v>
      </c>
      <c r="E33" s="358">
        <v>0.0</v>
      </c>
      <c r="G33" s="358">
        <v>0.0</v>
      </c>
    </row>
    <row r="34" ht="22.5" customHeight="1">
      <c r="A34" s="123" t="s">
        <v>336</v>
      </c>
      <c r="B34" s="122" t="s">
        <v>294</v>
      </c>
      <c r="C34" s="358">
        <v>0.29</v>
      </c>
      <c r="D34" s="358">
        <v>1.0</v>
      </c>
      <c r="E34" s="358">
        <v>12.0</v>
      </c>
      <c r="G34" s="358">
        <v>0.0</v>
      </c>
    </row>
    <row r="35" ht="22.5" customHeight="1">
      <c r="A35" s="123" t="s">
        <v>314</v>
      </c>
      <c r="B35" s="122" t="s">
        <v>294</v>
      </c>
      <c r="C35" s="358">
        <v>2.66</v>
      </c>
      <c r="D35" s="358">
        <v>4.0</v>
      </c>
      <c r="E35" s="358">
        <v>24.0</v>
      </c>
      <c r="G35" s="358">
        <v>0.0</v>
      </c>
    </row>
    <row r="36" ht="22.5" customHeight="1">
      <c r="A36" s="123" t="s">
        <v>314</v>
      </c>
      <c r="B36" s="122" t="s">
        <v>294</v>
      </c>
      <c r="C36" s="358">
        <v>2.7</v>
      </c>
      <c r="D36" s="358">
        <v>4.0</v>
      </c>
      <c r="E36" s="358">
        <v>24.0</v>
      </c>
      <c r="G36" s="358">
        <v>0.0</v>
      </c>
    </row>
    <row r="37" ht="22.5" customHeight="1">
      <c r="A37" s="123" t="s">
        <v>340</v>
      </c>
      <c r="B37" s="122" t="s">
        <v>294</v>
      </c>
      <c r="C37" s="358">
        <v>3.41</v>
      </c>
      <c r="D37" s="358">
        <v>5.0</v>
      </c>
      <c r="E37" s="358">
        <v>24.0</v>
      </c>
      <c r="G37" s="358">
        <v>0.0</v>
      </c>
    </row>
    <row r="38" ht="22.5" customHeight="1">
      <c r="A38" s="123" t="s">
        <v>337</v>
      </c>
      <c r="B38" s="122" t="s">
        <v>294</v>
      </c>
      <c r="C38" s="358">
        <v>3.75</v>
      </c>
      <c r="D38" s="358">
        <v>5.0</v>
      </c>
      <c r="E38" s="358">
        <v>24.0</v>
      </c>
      <c r="G38" s="358">
        <v>0.0</v>
      </c>
    </row>
    <row r="39" ht="22.5" customHeight="1">
      <c r="A39" s="123" t="s">
        <v>341</v>
      </c>
      <c r="B39" s="122" t="s">
        <v>294</v>
      </c>
      <c r="C39" s="358">
        <v>0.6</v>
      </c>
      <c r="D39" s="358">
        <v>1.0</v>
      </c>
      <c r="E39" s="358">
        <v>24.0</v>
      </c>
      <c r="G39" s="358">
        <v>0.0</v>
      </c>
    </row>
    <row r="40" ht="22.5" customHeight="1">
      <c r="A40" s="123" t="s">
        <v>342</v>
      </c>
      <c r="B40" s="122" t="s">
        <v>294</v>
      </c>
      <c r="C40" s="358">
        <v>0.45</v>
      </c>
      <c r="D40" s="358">
        <v>1.0</v>
      </c>
      <c r="E40" s="358">
        <v>24.0</v>
      </c>
      <c r="G40" s="358">
        <v>0.0</v>
      </c>
    </row>
    <row r="41" ht="22.5" customHeight="1">
      <c r="A41" s="123" t="s">
        <v>497</v>
      </c>
      <c r="B41" s="122" t="s">
        <v>294</v>
      </c>
      <c r="C41" s="358">
        <v>2.17</v>
      </c>
      <c r="D41" s="358">
        <v>3.0</v>
      </c>
      <c r="E41" s="358">
        <v>24.0</v>
      </c>
      <c r="G41" s="358">
        <v>0.0</v>
      </c>
    </row>
    <row r="42" ht="22.5" customHeight="1">
      <c r="A42" s="123" t="s">
        <v>344</v>
      </c>
      <c r="B42" s="122" t="s">
        <v>294</v>
      </c>
      <c r="C42" s="358">
        <v>1.91</v>
      </c>
      <c r="D42" s="358">
        <v>3.0</v>
      </c>
      <c r="E42" s="358">
        <v>24.0</v>
      </c>
      <c r="G42" s="358">
        <v>0.0</v>
      </c>
    </row>
    <row r="43" ht="22.5" customHeight="1">
      <c r="A43" s="123" t="s">
        <v>355</v>
      </c>
      <c r="B43" s="122" t="s">
        <v>294</v>
      </c>
      <c r="C43" s="358">
        <v>2.83</v>
      </c>
      <c r="D43" s="358">
        <v>4.0</v>
      </c>
      <c r="E43" s="358">
        <v>24.0</v>
      </c>
      <c r="G43" s="358">
        <v>0.0</v>
      </c>
    </row>
    <row r="44" ht="22.5" customHeight="1">
      <c r="A44" s="123" t="s">
        <v>346</v>
      </c>
      <c r="B44" s="122" t="s">
        <v>294</v>
      </c>
      <c r="C44" s="358">
        <v>3.58</v>
      </c>
      <c r="D44" s="358">
        <v>5.0</v>
      </c>
      <c r="E44" s="358">
        <v>24.0</v>
      </c>
      <c r="G44" s="358">
        <v>0.0</v>
      </c>
    </row>
    <row r="45" ht="22.5" customHeight="1">
      <c r="A45" s="123" t="s">
        <v>347</v>
      </c>
      <c r="B45" s="122" t="s">
        <v>294</v>
      </c>
      <c r="C45" s="358">
        <v>1.6</v>
      </c>
      <c r="D45" s="358">
        <v>3.0</v>
      </c>
      <c r="E45" s="358">
        <v>17.0</v>
      </c>
      <c r="G45" s="358">
        <v>0.0</v>
      </c>
    </row>
    <row r="46" ht="22.5" customHeight="1">
      <c r="A46" s="123" t="s">
        <v>348</v>
      </c>
      <c r="B46" s="122" t="s">
        <v>294</v>
      </c>
      <c r="C46" s="358">
        <v>4.41</v>
      </c>
      <c r="D46" s="358">
        <v>6.0</v>
      </c>
      <c r="E46" s="358">
        <v>24.0</v>
      </c>
      <c r="G46" s="358">
        <v>0.0</v>
      </c>
    </row>
    <row r="47" ht="22.5" customHeight="1">
      <c r="A47" s="123" t="s">
        <v>355</v>
      </c>
      <c r="B47" s="122" t="s">
        <v>294</v>
      </c>
      <c r="C47" s="358">
        <v>2.7</v>
      </c>
      <c r="D47" s="358">
        <v>4.0</v>
      </c>
      <c r="E47" s="358">
        <v>24.0</v>
      </c>
      <c r="G47" s="358">
        <v>0.0</v>
      </c>
    </row>
    <row r="48" ht="22.5" customHeight="1">
      <c r="A48" s="123" t="s">
        <v>349</v>
      </c>
      <c r="B48" s="122" t="s">
        <v>294</v>
      </c>
      <c r="C48" s="358">
        <v>9.16</v>
      </c>
      <c r="D48" s="358">
        <v>12.0</v>
      </c>
      <c r="E48" s="358">
        <v>12.0</v>
      </c>
      <c r="G48" s="358">
        <v>0.0</v>
      </c>
    </row>
    <row r="49" ht="22.5" customHeight="1">
      <c r="A49" s="123" t="s">
        <v>498</v>
      </c>
      <c r="B49" s="122" t="s">
        <v>294</v>
      </c>
      <c r="C49" s="358">
        <v>1.26</v>
      </c>
      <c r="D49" s="358">
        <v>2.0</v>
      </c>
      <c r="E49" s="358">
        <v>30.0</v>
      </c>
      <c r="G49" s="358">
        <v>0.0</v>
      </c>
    </row>
    <row r="50" ht="22.5" customHeight="1">
      <c r="A50" s="123" t="s">
        <v>351</v>
      </c>
      <c r="B50" s="360"/>
      <c r="C50" s="358">
        <v>0.0</v>
      </c>
      <c r="D50" s="358">
        <v>0.0</v>
      </c>
      <c r="E50" s="358">
        <v>0.0</v>
      </c>
      <c r="G50" s="358">
        <v>0.0</v>
      </c>
    </row>
    <row r="51" ht="22.5" customHeight="1">
      <c r="A51" s="123" t="s">
        <v>336</v>
      </c>
      <c r="B51" s="122" t="s">
        <v>294</v>
      </c>
      <c r="C51" s="358">
        <v>0.33</v>
      </c>
      <c r="D51" s="358">
        <v>1.0</v>
      </c>
      <c r="E51" s="358">
        <v>12.0</v>
      </c>
      <c r="G51" s="358">
        <v>0.0</v>
      </c>
    </row>
    <row r="52" ht="22.5" customHeight="1">
      <c r="A52" s="123" t="s">
        <v>499</v>
      </c>
      <c r="B52" s="122" t="s">
        <v>294</v>
      </c>
      <c r="C52" s="358">
        <v>2.5</v>
      </c>
      <c r="D52" s="358">
        <v>3.0</v>
      </c>
      <c r="E52" s="358">
        <v>24.0</v>
      </c>
      <c r="G52" s="358">
        <v>0.0</v>
      </c>
    </row>
    <row r="53" ht="22.5" customHeight="1">
      <c r="A53" s="123" t="s">
        <v>500</v>
      </c>
      <c r="B53" s="122" t="s">
        <v>294</v>
      </c>
      <c r="C53" s="358">
        <v>2.37</v>
      </c>
      <c r="D53" s="358">
        <v>3.0</v>
      </c>
      <c r="E53" s="358">
        <v>24.0</v>
      </c>
      <c r="G53" s="358">
        <v>0.0</v>
      </c>
    </row>
    <row r="54" ht="22.5" customHeight="1">
      <c r="A54" s="123" t="s">
        <v>354</v>
      </c>
      <c r="B54" s="122" t="s">
        <v>294</v>
      </c>
      <c r="C54" s="358">
        <v>3.37</v>
      </c>
      <c r="D54" s="358">
        <v>5.0</v>
      </c>
      <c r="E54" s="358">
        <v>24.0</v>
      </c>
      <c r="G54" s="358">
        <v>0.0</v>
      </c>
    </row>
    <row r="55" ht="22.5" customHeight="1">
      <c r="A55" s="123" t="s">
        <v>355</v>
      </c>
      <c r="B55" s="122" t="s">
        <v>294</v>
      </c>
      <c r="C55" s="358">
        <v>2.91</v>
      </c>
      <c r="D55" s="358">
        <v>4.0</v>
      </c>
      <c r="E55" s="358">
        <v>24.0</v>
      </c>
      <c r="G55" s="358">
        <v>0.0</v>
      </c>
    </row>
    <row r="56" ht="22.5" customHeight="1">
      <c r="A56" s="123" t="s">
        <v>356</v>
      </c>
      <c r="B56" s="122" t="s">
        <v>294</v>
      </c>
      <c r="C56" s="358">
        <v>2.7</v>
      </c>
      <c r="D56" s="358">
        <v>4.0</v>
      </c>
      <c r="E56" s="358">
        <v>24.0</v>
      </c>
      <c r="G56" s="358">
        <v>0.0</v>
      </c>
    </row>
    <row r="57" ht="22.5" customHeight="1">
      <c r="A57" s="123" t="s">
        <v>341</v>
      </c>
      <c r="B57" s="122" t="s">
        <v>294</v>
      </c>
      <c r="C57" s="358">
        <v>0.6</v>
      </c>
      <c r="D57" s="358">
        <v>1.0</v>
      </c>
      <c r="E57" s="358">
        <v>24.0</v>
      </c>
      <c r="G57" s="358">
        <v>0.0</v>
      </c>
    </row>
    <row r="58" ht="22.5" customHeight="1">
      <c r="A58" s="123" t="s">
        <v>357</v>
      </c>
      <c r="B58" s="122" t="s">
        <v>294</v>
      </c>
      <c r="C58" s="358">
        <v>0.45</v>
      </c>
      <c r="D58" s="358">
        <v>1.0</v>
      </c>
      <c r="E58" s="358">
        <v>24.0</v>
      </c>
      <c r="G58" s="358">
        <v>0.0</v>
      </c>
    </row>
    <row r="59" ht="22.5" customHeight="1">
      <c r="A59" s="123" t="s">
        <v>358</v>
      </c>
      <c r="B59" s="122" t="s">
        <v>294</v>
      </c>
      <c r="C59" s="358">
        <v>1.66</v>
      </c>
      <c r="D59" s="358">
        <v>3.0</v>
      </c>
      <c r="E59" s="358">
        <v>12.0</v>
      </c>
      <c r="G59" s="358">
        <v>0.0</v>
      </c>
    </row>
    <row r="60" ht="22.5" customHeight="1">
      <c r="A60" s="123" t="s">
        <v>359</v>
      </c>
      <c r="B60" s="122" t="s">
        <v>294</v>
      </c>
      <c r="C60" s="358">
        <v>0.91</v>
      </c>
      <c r="D60" s="358">
        <v>2.0</v>
      </c>
      <c r="E60" s="358">
        <v>24.0</v>
      </c>
      <c r="G60" s="358">
        <v>0.0</v>
      </c>
    </row>
    <row r="61" ht="22.5" customHeight="1">
      <c r="A61" s="123" t="s">
        <v>498</v>
      </c>
      <c r="B61" s="122" t="s">
        <v>294</v>
      </c>
      <c r="C61" s="358">
        <v>1.5</v>
      </c>
      <c r="D61" s="358">
        <v>2.0</v>
      </c>
      <c r="E61" s="358">
        <v>24.0</v>
      </c>
      <c r="G61" s="358">
        <v>0.0</v>
      </c>
    </row>
    <row r="62" ht="22.5" customHeight="1">
      <c r="A62" s="123" t="s">
        <v>360</v>
      </c>
      <c r="B62" s="122" t="s">
        <v>294</v>
      </c>
      <c r="C62" s="358">
        <v>1.95</v>
      </c>
      <c r="D62" s="358">
        <v>3.0</v>
      </c>
      <c r="E62" s="358">
        <v>24.0</v>
      </c>
      <c r="G62" s="358">
        <v>0.0</v>
      </c>
    </row>
    <row r="63" ht="22.5" customHeight="1">
      <c r="A63" s="123" t="s">
        <v>361</v>
      </c>
      <c r="B63" s="122" t="s">
        <v>294</v>
      </c>
      <c r="C63" s="358">
        <v>2.62</v>
      </c>
      <c r="D63" s="358">
        <v>4.0</v>
      </c>
      <c r="E63" s="358">
        <v>24.0</v>
      </c>
      <c r="G63" s="358">
        <v>0.0</v>
      </c>
    </row>
    <row r="64" ht="22.5" customHeight="1">
      <c r="A64" s="123" t="s">
        <v>348</v>
      </c>
      <c r="B64" s="122" t="s">
        <v>294</v>
      </c>
      <c r="C64" s="358">
        <v>4.16</v>
      </c>
      <c r="D64" s="358">
        <v>6.0</v>
      </c>
      <c r="E64" s="358">
        <v>24.0</v>
      </c>
      <c r="G64" s="358">
        <v>0.0</v>
      </c>
    </row>
    <row r="65" ht="22.5" customHeight="1">
      <c r="A65" s="123" t="s">
        <v>362</v>
      </c>
      <c r="B65" s="122" t="s">
        <v>294</v>
      </c>
      <c r="C65" s="358">
        <v>2.87</v>
      </c>
      <c r="D65" s="358">
        <v>4.0</v>
      </c>
      <c r="E65" s="358">
        <v>24.0</v>
      </c>
      <c r="G65" s="358">
        <v>0.0</v>
      </c>
    </row>
    <row r="66" ht="22.5" customHeight="1">
      <c r="A66" s="123" t="s">
        <v>363</v>
      </c>
      <c r="B66" s="360"/>
      <c r="C66" s="358">
        <v>0.0</v>
      </c>
      <c r="D66" s="358">
        <v>0.0</v>
      </c>
      <c r="E66" s="358">
        <v>0.0</v>
      </c>
      <c r="G66" s="358">
        <v>0.0</v>
      </c>
    </row>
    <row r="67" ht="22.5" customHeight="1">
      <c r="A67" s="123" t="s">
        <v>336</v>
      </c>
      <c r="B67" s="122" t="s">
        <v>294</v>
      </c>
      <c r="C67" s="358">
        <v>0.33</v>
      </c>
      <c r="D67" s="358">
        <v>1.0</v>
      </c>
      <c r="E67" s="358">
        <v>12.0</v>
      </c>
      <c r="G67" s="358">
        <v>0.0</v>
      </c>
    </row>
    <row r="68" ht="22.5" customHeight="1">
      <c r="A68" s="123" t="s">
        <v>355</v>
      </c>
      <c r="B68" s="122" t="s">
        <v>294</v>
      </c>
      <c r="C68" s="358">
        <v>2.83</v>
      </c>
      <c r="D68" s="358">
        <v>4.0</v>
      </c>
      <c r="E68" s="358">
        <v>24.0</v>
      </c>
      <c r="G68" s="358">
        <v>0.0</v>
      </c>
    </row>
    <row r="69" ht="22.5" customHeight="1">
      <c r="A69" s="123" t="s">
        <v>498</v>
      </c>
      <c r="B69" s="122" t="s">
        <v>294</v>
      </c>
      <c r="C69" s="358">
        <v>1.23</v>
      </c>
      <c r="D69" s="358">
        <v>2.0</v>
      </c>
      <c r="E69" s="358">
        <v>24.0</v>
      </c>
      <c r="G69" s="358">
        <v>0.0</v>
      </c>
    </row>
    <row r="70" ht="22.5" customHeight="1">
      <c r="A70" s="123" t="s">
        <v>358</v>
      </c>
      <c r="B70" s="122" t="s">
        <v>294</v>
      </c>
      <c r="C70" s="358">
        <v>1.66</v>
      </c>
      <c r="D70" s="358">
        <v>3.0</v>
      </c>
      <c r="E70" s="358">
        <v>12.0</v>
      </c>
      <c r="G70" s="358">
        <v>0.0</v>
      </c>
    </row>
    <row r="71" ht="22.5" customHeight="1">
      <c r="A71" s="123" t="s">
        <v>360</v>
      </c>
      <c r="B71" s="122" t="s">
        <v>294</v>
      </c>
      <c r="C71" s="358">
        <v>1.95</v>
      </c>
      <c r="D71" s="358">
        <v>3.0</v>
      </c>
      <c r="E71" s="358">
        <v>24.0</v>
      </c>
      <c r="G71" s="358">
        <v>0.0</v>
      </c>
    </row>
    <row r="72" ht="22.5" customHeight="1">
      <c r="A72" s="123" t="s">
        <v>364</v>
      </c>
      <c r="B72" s="122" t="s">
        <v>294</v>
      </c>
      <c r="C72" s="358">
        <v>2.83</v>
      </c>
      <c r="D72" s="358">
        <v>4.0</v>
      </c>
      <c r="E72" s="358">
        <v>24.0</v>
      </c>
      <c r="G72" s="358">
        <v>0.0</v>
      </c>
    </row>
    <row r="73" ht="22.5" customHeight="1">
      <c r="A73" s="123" t="s">
        <v>346</v>
      </c>
      <c r="B73" s="122" t="s">
        <v>294</v>
      </c>
      <c r="C73" s="358">
        <v>3.8</v>
      </c>
      <c r="D73" s="358">
        <v>5.0</v>
      </c>
      <c r="E73" s="358">
        <v>24.0</v>
      </c>
      <c r="G73" s="358">
        <v>0.0</v>
      </c>
    </row>
    <row r="74" ht="22.5" customHeight="1">
      <c r="A74" s="123" t="s">
        <v>365</v>
      </c>
      <c r="B74" s="122" t="s">
        <v>294</v>
      </c>
      <c r="C74" s="358">
        <v>0.6</v>
      </c>
      <c r="D74" s="358">
        <v>1.0</v>
      </c>
      <c r="E74" s="358">
        <v>24.0</v>
      </c>
      <c r="G74" s="358">
        <v>0.0</v>
      </c>
    </row>
    <row r="75" ht="22.5" customHeight="1">
      <c r="A75" s="123" t="s">
        <v>357</v>
      </c>
      <c r="B75" s="122" t="s">
        <v>294</v>
      </c>
      <c r="C75" s="358">
        <v>0.45</v>
      </c>
      <c r="D75" s="358">
        <v>1.0</v>
      </c>
      <c r="E75" s="358">
        <v>24.0</v>
      </c>
      <c r="G75" s="358">
        <v>0.0</v>
      </c>
    </row>
    <row r="76" ht="22.5" customHeight="1">
      <c r="A76" s="123" t="s">
        <v>366</v>
      </c>
      <c r="B76" s="122" t="s">
        <v>294</v>
      </c>
      <c r="C76" s="358">
        <v>0.66</v>
      </c>
      <c r="D76" s="358">
        <v>1.0</v>
      </c>
      <c r="E76" s="358">
        <v>24.0</v>
      </c>
      <c r="G76" s="358">
        <v>0.0</v>
      </c>
    </row>
    <row r="77" ht="22.5" customHeight="1">
      <c r="A77" s="123" t="s">
        <v>354</v>
      </c>
      <c r="B77" s="122" t="s">
        <v>294</v>
      </c>
      <c r="C77" s="358">
        <v>3.7</v>
      </c>
      <c r="D77" s="358">
        <v>5.0</v>
      </c>
      <c r="E77" s="358">
        <v>24.0</v>
      </c>
      <c r="G77" s="358">
        <v>0.0</v>
      </c>
    </row>
    <row r="78" ht="22.5" customHeight="1">
      <c r="A78" s="123" t="s">
        <v>367</v>
      </c>
      <c r="B78" s="122" t="s">
        <v>294</v>
      </c>
      <c r="C78" s="358">
        <v>9.5</v>
      </c>
      <c r="D78" s="358">
        <v>12.0</v>
      </c>
      <c r="E78" s="358">
        <v>12.0</v>
      </c>
      <c r="G78" s="358">
        <v>0.0</v>
      </c>
    </row>
    <row r="79" ht="22.5" customHeight="1">
      <c r="A79" s="123" t="s">
        <v>368</v>
      </c>
      <c r="B79" s="122" t="s">
        <v>294</v>
      </c>
      <c r="C79" s="358">
        <v>4.75</v>
      </c>
      <c r="D79" s="358">
        <v>6.0</v>
      </c>
      <c r="E79" s="358">
        <v>12.0</v>
      </c>
      <c r="G79" s="358">
        <v>0.0</v>
      </c>
    </row>
    <row r="80" ht="22.5" customHeight="1">
      <c r="A80" s="123" t="s">
        <v>369</v>
      </c>
      <c r="B80" s="360"/>
      <c r="C80" s="358">
        <v>0.0</v>
      </c>
      <c r="D80" s="358">
        <v>0.0</v>
      </c>
      <c r="E80" s="358">
        <v>0.0</v>
      </c>
      <c r="G80" s="358">
        <v>0.0</v>
      </c>
    </row>
    <row r="81" ht="22.5" customHeight="1">
      <c r="A81" s="123" t="s">
        <v>336</v>
      </c>
      <c r="B81" s="122" t="s">
        <v>294</v>
      </c>
      <c r="C81" s="358">
        <v>0.33</v>
      </c>
      <c r="D81" s="358">
        <v>1.0</v>
      </c>
      <c r="E81" s="358">
        <v>12.0</v>
      </c>
      <c r="G81" s="358">
        <v>0.0</v>
      </c>
    </row>
    <row r="82" ht="22.5" customHeight="1">
      <c r="A82" s="123" t="s">
        <v>355</v>
      </c>
      <c r="B82" s="122" t="s">
        <v>294</v>
      </c>
      <c r="C82" s="358">
        <v>2.83</v>
      </c>
      <c r="D82" s="358">
        <v>4.0</v>
      </c>
      <c r="E82" s="358">
        <v>24.0</v>
      </c>
      <c r="G82" s="358">
        <v>0.0</v>
      </c>
    </row>
    <row r="83" ht="22.5" customHeight="1">
      <c r="A83" s="123" t="s">
        <v>370</v>
      </c>
      <c r="B83" s="122" t="s">
        <v>294</v>
      </c>
      <c r="C83" s="358">
        <v>3.0</v>
      </c>
      <c r="D83" s="358">
        <v>4.0</v>
      </c>
      <c r="E83" s="358">
        <v>24.0</v>
      </c>
      <c r="G83" s="358">
        <v>0.0</v>
      </c>
    </row>
    <row r="84" ht="22.5" customHeight="1">
      <c r="A84" s="123" t="s">
        <v>360</v>
      </c>
      <c r="B84" s="122" t="s">
        <v>294</v>
      </c>
      <c r="C84" s="358">
        <v>2.08</v>
      </c>
      <c r="D84" s="358">
        <v>3.0</v>
      </c>
      <c r="E84" s="358">
        <v>24.0</v>
      </c>
      <c r="G84" s="358">
        <v>0.0</v>
      </c>
    </row>
    <row r="85" ht="22.5" customHeight="1">
      <c r="A85" s="123" t="s">
        <v>360</v>
      </c>
      <c r="B85" s="122" t="s">
        <v>294</v>
      </c>
      <c r="C85" s="358">
        <v>1.91</v>
      </c>
      <c r="D85" s="358">
        <v>3.0</v>
      </c>
      <c r="E85" s="358">
        <v>24.0</v>
      </c>
      <c r="G85" s="358">
        <v>0.0</v>
      </c>
    </row>
    <row r="86" ht="22.5" customHeight="1">
      <c r="A86" s="123" t="s">
        <v>498</v>
      </c>
      <c r="B86" s="122" t="s">
        <v>294</v>
      </c>
      <c r="C86" s="358">
        <v>1.23</v>
      </c>
      <c r="D86" s="358">
        <v>2.0</v>
      </c>
      <c r="E86" s="358">
        <v>24.0</v>
      </c>
      <c r="G86" s="358">
        <v>0.0</v>
      </c>
    </row>
    <row r="87" ht="22.5" customHeight="1">
      <c r="A87" s="123" t="s">
        <v>358</v>
      </c>
      <c r="B87" s="122" t="s">
        <v>294</v>
      </c>
      <c r="C87" s="358">
        <v>1.66</v>
      </c>
      <c r="D87" s="358">
        <v>3.0</v>
      </c>
      <c r="E87" s="358">
        <v>12.0</v>
      </c>
      <c r="G87" s="358">
        <v>0.0</v>
      </c>
    </row>
    <row r="88" ht="22.5" customHeight="1">
      <c r="A88" s="123" t="s">
        <v>341</v>
      </c>
      <c r="B88" s="122" t="s">
        <v>294</v>
      </c>
      <c r="C88" s="358">
        <v>0.62</v>
      </c>
      <c r="D88" s="358">
        <v>1.0</v>
      </c>
      <c r="E88" s="358">
        <v>24.0</v>
      </c>
      <c r="G88" s="358">
        <v>0.0</v>
      </c>
    </row>
    <row r="89" ht="22.5" customHeight="1">
      <c r="A89" s="123" t="s">
        <v>371</v>
      </c>
      <c r="B89" s="122" t="s">
        <v>294</v>
      </c>
      <c r="C89" s="358">
        <v>0.66</v>
      </c>
      <c r="D89" s="358">
        <v>1.0</v>
      </c>
      <c r="E89" s="358">
        <v>24.0</v>
      </c>
      <c r="G89" s="358">
        <v>0.0</v>
      </c>
    </row>
    <row r="90" ht="22.5" customHeight="1">
      <c r="A90" s="123" t="s">
        <v>357</v>
      </c>
      <c r="B90" s="122" t="s">
        <v>294</v>
      </c>
      <c r="C90" s="358">
        <v>0.45</v>
      </c>
      <c r="D90" s="358">
        <v>1.0</v>
      </c>
      <c r="E90" s="358">
        <v>24.0</v>
      </c>
      <c r="G90" s="358">
        <v>0.0</v>
      </c>
    </row>
    <row r="91" ht="22.5" customHeight="1">
      <c r="A91" s="123" t="s">
        <v>372</v>
      </c>
      <c r="B91" s="122" t="s">
        <v>294</v>
      </c>
      <c r="C91" s="358">
        <v>1.75</v>
      </c>
      <c r="D91" s="358">
        <v>3.0</v>
      </c>
      <c r="E91" s="358">
        <v>8.0</v>
      </c>
      <c r="G91" s="358">
        <v>0.0</v>
      </c>
    </row>
    <row r="92" ht="22.5" customHeight="1">
      <c r="A92" s="123" t="s">
        <v>337</v>
      </c>
      <c r="B92" s="122" t="s">
        <v>294</v>
      </c>
      <c r="C92" s="358">
        <v>3.7</v>
      </c>
      <c r="D92" s="358">
        <v>5.0</v>
      </c>
      <c r="E92" s="358">
        <v>24.0</v>
      </c>
      <c r="G92" s="358">
        <v>0.0</v>
      </c>
    </row>
    <row r="93" ht="22.5" customHeight="1">
      <c r="A93" s="123" t="s">
        <v>337</v>
      </c>
      <c r="B93" s="122" t="s">
        <v>294</v>
      </c>
      <c r="C93" s="358">
        <v>3.5</v>
      </c>
      <c r="D93" s="358">
        <v>5.0</v>
      </c>
      <c r="E93" s="358">
        <v>24.0</v>
      </c>
      <c r="G93" s="358">
        <v>0.0</v>
      </c>
    </row>
    <row r="94" ht="22.5" customHeight="1">
      <c r="A94" s="123" t="s">
        <v>373</v>
      </c>
      <c r="B94" s="122" t="s">
        <v>294</v>
      </c>
      <c r="C94" s="358">
        <v>2.3</v>
      </c>
      <c r="D94" s="358">
        <v>4.0</v>
      </c>
      <c r="E94" s="358">
        <v>24.0</v>
      </c>
      <c r="G94" s="358">
        <v>0.0</v>
      </c>
    </row>
    <row r="95" ht="22.5" customHeight="1">
      <c r="A95" s="123" t="s">
        <v>364</v>
      </c>
      <c r="B95" s="122" t="s">
        <v>294</v>
      </c>
      <c r="C95" s="358">
        <v>2.83</v>
      </c>
      <c r="D95" s="358">
        <v>4.0</v>
      </c>
      <c r="E95" s="358">
        <v>24.0</v>
      </c>
      <c r="G95" s="358">
        <v>0.0</v>
      </c>
    </row>
    <row r="96" ht="22.5" customHeight="1">
      <c r="A96" s="123" t="s">
        <v>374</v>
      </c>
      <c r="B96" s="122" t="s">
        <v>294</v>
      </c>
      <c r="C96" s="358">
        <v>4.75</v>
      </c>
      <c r="D96" s="358">
        <v>7.0</v>
      </c>
      <c r="E96" s="358">
        <v>12.0</v>
      </c>
      <c r="G96" s="358">
        <v>0.0</v>
      </c>
    </row>
    <row r="97" ht="22.5" customHeight="1">
      <c r="A97" s="123" t="s">
        <v>375</v>
      </c>
      <c r="B97" s="360"/>
      <c r="C97" s="358">
        <v>0.0</v>
      </c>
      <c r="D97" s="358">
        <v>0.0</v>
      </c>
      <c r="E97" s="358">
        <v>0.0</v>
      </c>
      <c r="G97" s="358">
        <v>0.0</v>
      </c>
    </row>
    <row r="98" ht="22.5" customHeight="1">
      <c r="A98" s="123" t="s">
        <v>379</v>
      </c>
      <c r="B98" s="122" t="s">
        <v>281</v>
      </c>
      <c r="C98" s="358">
        <v>2.6</v>
      </c>
      <c r="D98" s="358">
        <v>4.0</v>
      </c>
      <c r="E98" s="358">
        <v>12.0</v>
      </c>
      <c r="G98" s="358">
        <v>0.0</v>
      </c>
    </row>
    <row r="99" ht="22.5" customHeight="1">
      <c r="A99" s="123" t="s">
        <v>380</v>
      </c>
      <c r="B99" s="122" t="s">
        <v>281</v>
      </c>
      <c r="C99" s="358">
        <v>1.75</v>
      </c>
      <c r="D99" s="358">
        <v>3.0</v>
      </c>
      <c r="E99" s="358">
        <v>16.0</v>
      </c>
      <c r="F99" s="123" t="s">
        <v>501</v>
      </c>
      <c r="G99" s="358">
        <v>0.0</v>
      </c>
    </row>
    <row r="100" ht="22.5" customHeight="1">
      <c r="A100" s="123">
        <v>79.0</v>
      </c>
      <c r="B100" s="122" t="s">
        <v>281</v>
      </c>
      <c r="C100" s="358">
        <v>4.5</v>
      </c>
      <c r="D100" s="358">
        <v>5.0</v>
      </c>
      <c r="E100" s="358">
        <v>30.0</v>
      </c>
      <c r="G100" s="358">
        <v>0.0</v>
      </c>
    </row>
    <row r="101" ht="22.5" customHeight="1">
      <c r="A101" s="123" t="s">
        <v>382</v>
      </c>
      <c r="B101" s="122" t="s">
        <v>281</v>
      </c>
      <c r="C101" s="358">
        <v>2.23</v>
      </c>
      <c r="D101" s="358">
        <v>3.0</v>
      </c>
      <c r="E101" s="358">
        <v>30.0</v>
      </c>
      <c r="G101" s="358">
        <v>0.0</v>
      </c>
    </row>
    <row r="102" ht="22.5" customHeight="1">
      <c r="A102" s="123" t="s">
        <v>324</v>
      </c>
      <c r="B102" s="360"/>
      <c r="C102" s="358">
        <v>0.0</v>
      </c>
      <c r="D102" s="358">
        <v>0.0</v>
      </c>
      <c r="E102" s="358">
        <v>0.0</v>
      </c>
      <c r="G102" s="358">
        <v>0.0</v>
      </c>
    </row>
    <row r="103" ht="22.5" customHeight="1">
      <c r="A103" s="123" t="s">
        <v>383</v>
      </c>
      <c r="B103" s="122" t="s">
        <v>281</v>
      </c>
      <c r="C103" s="358">
        <v>0.9</v>
      </c>
      <c r="D103" s="358">
        <v>1.0</v>
      </c>
      <c r="E103" s="358">
        <v>30.0</v>
      </c>
      <c r="G103" s="358">
        <v>0.0</v>
      </c>
    </row>
    <row r="104" ht="22.5" customHeight="1">
      <c r="A104" s="123" t="s">
        <v>384</v>
      </c>
      <c r="B104" s="122" t="s">
        <v>281</v>
      </c>
      <c r="C104" s="358">
        <v>3.35</v>
      </c>
      <c r="D104" s="358">
        <v>4.0</v>
      </c>
      <c r="E104" s="358">
        <v>10.0</v>
      </c>
      <c r="G104" s="358">
        <v>0.0</v>
      </c>
    </row>
    <row r="105" ht="22.5" customHeight="1">
      <c r="A105" s="123" t="s">
        <v>385</v>
      </c>
      <c r="B105" s="122" t="s">
        <v>281</v>
      </c>
      <c r="C105" s="358">
        <v>2.03</v>
      </c>
      <c r="D105" s="358">
        <v>3.0</v>
      </c>
      <c r="E105" s="358">
        <v>15.0</v>
      </c>
      <c r="G105" s="358">
        <v>0.0</v>
      </c>
    </row>
    <row r="106" ht="22.5" customHeight="1">
      <c r="A106" s="123" t="s">
        <v>386</v>
      </c>
      <c r="B106" s="122" t="s">
        <v>281</v>
      </c>
      <c r="C106" s="358">
        <v>4.17</v>
      </c>
      <c r="D106" s="358">
        <v>5.0</v>
      </c>
      <c r="E106" s="358">
        <v>24.0</v>
      </c>
      <c r="G106" s="358">
        <v>0.0</v>
      </c>
    </row>
    <row r="107" ht="22.5" customHeight="1">
      <c r="A107" s="123" t="s">
        <v>387</v>
      </c>
      <c r="B107" s="122" t="s">
        <v>281</v>
      </c>
      <c r="C107" s="358">
        <v>2.22</v>
      </c>
      <c r="D107" s="358">
        <v>3.0</v>
      </c>
      <c r="E107" s="358">
        <v>15.0</v>
      </c>
      <c r="G107" s="358">
        <v>0.0</v>
      </c>
    </row>
    <row r="108" ht="22.5" customHeight="1">
      <c r="A108" s="119" t="s">
        <v>388</v>
      </c>
      <c r="B108" s="122" t="s">
        <v>281</v>
      </c>
      <c r="C108" s="358">
        <v>2.11</v>
      </c>
      <c r="D108" s="358">
        <v>3.0</v>
      </c>
      <c r="E108" s="358">
        <v>18.0</v>
      </c>
      <c r="G108" s="358">
        <v>0.0</v>
      </c>
    </row>
    <row r="109" ht="22.5" customHeight="1">
      <c r="A109" s="119" t="s">
        <v>389</v>
      </c>
      <c r="B109" s="122" t="s">
        <v>281</v>
      </c>
      <c r="C109" s="358">
        <v>0.42</v>
      </c>
      <c r="D109" s="358">
        <v>1.0</v>
      </c>
      <c r="E109" s="358">
        <v>50.0</v>
      </c>
      <c r="G109" s="358">
        <v>0.0</v>
      </c>
    </row>
    <row r="110" ht="22.5" customHeight="1">
      <c r="A110" s="119" t="s">
        <v>390</v>
      </c>
      <c r="B110" s="122" t="s">
        <v>281</v>
      </c>
      <c r="C110" s="358">
        <v>0.8</v>
      </c>
      <c r="D110" s="358">
        <v>2.0</v>
      </c>
      <c r="E110" s="358">
        <v>15.0</v>
      </c>
      <c r="G110" s="358">
        <v>0.0</v>
      </c>
    </row>
    <row r="111" ht="22.5" customHeight="1">
      <c r="A111" s="123" t="s">
        <v>391</v>
      </c>
      <c r="B111" s="122" t="s">
        <v>281</v>
      </c>
      <c r="C111" s="358">
        <v>0.72</v>
      </c>
      <c r="D111" s="358">
        <v>2.0</v>
      </c>
      <c r="E111" s="358">
        <v>40.0</v>
      </c>
      <c r="G111" s="358">
        <v>0.0</v>
      </c>
    </row>
    <row r="112" ht="22.5" customHeight="1">
      <c r="A112" s="123" t="s">
        <v>380</v>
      </c>
      <c r="B112" s="122" t="s">
        <v>281</v>
      </c>
      <c r="C112" s="358">
        <v>0.86</v>
      </c>
      <c r="D112" s="358">
        <v>2.0</v>
      </c>
      <c r="E112" s="358">
        <v>30.0</v>
      </c>
      <c r="G112" s="358">
        <v>0.0</v>
      </c>
    </row>
    <row r="113" ht="22.5" customHeight="1">
      <c r="A113" s="123" t="s">
        <v>331</v>
      </c>
      <c r="B113" s="360"/>
      <c r="C113" s="358">
        <v>0.0</v>
      </c>
      <c r="D113" s="358">
        <v>0.0</v>
      </c>
      <c r="E113" s="358">
        <v>0.0</v>
      </c>
      <c r="G113" s="358">
        <v>0.0</v>
      </c>
    </row>
    <row r="114" ht="22.5" customHeight="1">
      <c r="A114" s="123" t="s">
        <v>392</v>
      </c>
      <c r="B114" s="122" t="s">
        <v>281</v>
      </c>
      <c r="C114" s="358">
        <v>2.27</v>
      </c>
      <c r="D114" s="358">
        <v>3.0</v>
      </c>
      <c r="E114" s="358">
        <v>18.0</v>
      </c>
      <c r="G114" s="358">
        <v>0.0</v>
      </c>
    </row>
    <row r="115" ht="22.5" customHeight="1">
      <c r="A115" s="123" t="s">
        <v>393</v>
      </c>
      <c r="B115" s="122" t="s">
        <v>281</v>
      </c>
      <c r="C115" s="358">
        <v>2.66</v>
      </c>
      <c r="D115" s="358">
        <v>4.0</v>
      </c>
      <c r="E115" s="358">
        <v>12.0</v>
      </c>
      <c r="G115" s="358">
        <v>0.0</v>
      </c>
    </row>
    <row r="116" ht="22.5" customHeight="1">
      <c r="A116" s="123" t="s">
        <v>394</v>
      </c>
      <c r="B116" s="122" t="s">
        <v>281</v>
      </c>
      <c r="C116" s="358">
        <v>1.75</v>
      </c>
      <c r="D116" s="358">
        <v>3.0</v>
      </c>
      <c r="E116" s="358">
        <v>16.0</v>
      </c>
      <c r="G116" s="358">
        <v>0.0</v>
      </c>
    </row>
    <row r="117" ht="22.5" customHeight="1">
      <c r="A117" s="123" t="s">
        <v>395</v>
      </c>
      <c r="B117" s="122" t="s">
        <v>281</v>
      </c>
      <c r="C117" s="358">
        <v>0.9</v>
      </c>
      <c r="D117" s="358">
        <v>2.0</v>
      </c>
      <c r="E117" s="358">
        <v>40.0</v>
      </c>
      <c r="G117" s="358">
        <v>0.0</v>
      </c>
    </row>
    <row r="118" ht="22.5" customHeight="1">
      <c r="A118" s="123" t="s">
        <v>396</v>
      </c>
      <c r="B118" s="122" t="s">
        <v>281</v>
      </c>
      <c r="C118" s="358">
        <v>3.5</v>
      </c>
      <c r="D118" s="358">
        <v>4.0</v>
      </c>
      <c r="E118" s="358">
        <v>10.0</v>
      </c>
      <c r="G118" s="358">
        <v>0.0</v>
      </c>
    </row>
    <row r="119" ht="22.5" customHeight="1">
      <c r="A119" s="123" t="s">
        <v>502</v>
      </c>
      <c r="B119" s="122" t="s">
        <v>281</v>
      </c>
      <c r="C119" s="358">
        <v>2.06</v>
      </c>
      <c r="D119" s="358">
        <v>3.0</v>
      </c>
      <c r="E119" s="358">
        <v>15.0</v>
      </c>
      <c r="G119" s="358">
        <v>0.0</v>
      </c>
    </row>
    <row r="120" ht="22.5" customHeight="1">
      <c r="A120" s="123" t="s">
        <v>398</v>
      </c>
      <c r="B120" s="122" t="s">
        <v>281</v>
      </c>
      <c r="C120" s="358">
        <v>1.83</v>
      </c>
      <c r="D120" s="358">
        <v>2.0</v>
      </c>
      <c r="E120" s="358">
        <v>6.0</v>
      </c>
      <c r="G120" s="358">
        <v>0.0</v>
      </c>
    </row>
    <row r="121" ht="22.5" customHeight="1">
      <c r="A121" s="123" t="s">
        <v>398</v>
      </c>
      <c r="B121" s="122" t="s">
        <v>281</v>
      </c>
      <c r="C121" s="358">
        <v>1.83</v>
      </c>
      <c r="D121" s="358">
        <v>4.0</v>
      </c>
      <c r="E121" s="358">
        <v>6.0</v>
      </c>
      <c r="G121" s="358">
        <v>0.0</v>
      </c>
    </row>
    <row r="122" ht="22.5" customHeight="1">
      <c r="A122" s="123" t="s">
        <v>399</v>
      </c>
      <c r="B122" s="360"/>
      <c r="C122" s="358">
        <v>0.0</v>
      </c>
      <c r="D122" s="358">
        <v>6.0</v>
      </c>
      <c r="E122" s="358">
        <v>0.0</v>
      </c>
      <c r="G122" s="358">
        <v>0.0</v>
      </c>
    </row>
    <row r="123" ht="22.5" customHeight="1">
      <c r="A123" s="123" t="s">
        <v>400</v>
      </c>
      <c r="B123" s="122" t="s">
        <v>281</v>
      </c>
      <c r="C123" s="358">
        <v>2.26</v>
      </c>
      <c r="D123" s="358">
        <v>3.0</v>
      </c>
      <c r="E123" s="358">
        <v>30.0</v>
      </c>
      <c r="G123" s="358">
        <v>0.0</v>
      </c>
    </row>
    <row r="124" ht="22.5" customHeight="1">
      <c r="A124" s="123" t="s">
        <v>401</v>
      </c>
      <c r="B124" s="122" t="s">
        <v>281</v>
      </c>
      <c r="C124" s="358">
        <v>3.67</v>
      </c>
      <c r="D124" s="358">
        <v>5.0</v>
      </c>
      <c r="E124" s="358">
        <v>12.0</v>
      </c>
      <c r="G124" s="358">
        <v>0.0</v>
      </c>
    </row>
    <row r="125" ht="22.5" customHeight="1">
      <c r="A125" s="123" t="s">
        <v>402</v>
      </c>
      <c r="B125" s="122" t="s">
        <v>281</v>
      </c>
      <c r="C125" s="358">
        <v>3.08</v>
      </c>
      <c r="D125" s="358">
        <v>4.0</v>
      </c>
      <c r="E125" s="358">
        <v>12.0</v>
      </c>
      <c r="G125" s="358">
        <v>0.0</v>
      </c>
    </row>
    <row r="126" ht="22.5" customHeight="1">
      <c r="A126" s="123" t="s">
        <v>403</v>
      </c>
      <c r="B126" s="122" t="s">
        <v>281</v>
      </c>
      <c r="C126" s="358">
        <v>14.0</v>
      </c>
      <c r="D126" s="358">
        <v>16.0</v>
      </c>
      <c r="E126" s="358">
        <v>18.0</v>
      </c>
      <c r="G126" s="358">
        <v>0.0</v>
      </c>
    </row>
    <row r="127" ht="22.5" customHeight="1">
      <c r="A127" s="123" t="s">
        <v>338</v>
      </c>
      <c r="B127" s="360"/>
      <c r="C127" s="358">
        <v>0.0</v>
      </c>
      <c r="D127" s="358">
        <v>0.0</v>
      </c>
      <c r="E127" s="358">
        <v>0.0</v>
      </c>
      <c r="G127" s="358">
        <v>0.0</v>
      </c>
    </row>
    <row r="128" ht="22.5" customHeight="1">
      <c r="A128" s="123" t="s">
        <v>339</v>
      </c>
      <c r="B128" s="360"/>
      <c r="C128" s="358">
        <v>0.0</v>
      </c>
      <c r="D128" s="358">
        <v>0.0</v>
      </c>
      <c r="E128" s="358">
        <v>0.0</v>
      </c>
      <c r="G128" s="358">
        <v>0.0</v>
      </c>
    </row>
    <row r="129" ht="22.5" customHeight="1">
      <c r="A129" s="123" t="s">
        <v>404</v>
      </c>
      <c r="B129" s="122" t="s">
        <v>281</v>
      </c>
      <c r="C129" s="358">
        <v>4.75</v>
      </c>
      <c r="D129" s="358">
        <v>6.0</v>
      </c>
      <c r="E129" s="358">
        <v>12.0</v>
      </c>
      <c r="G129" s="358">
        <v>0.0</v>
      </c>
    </row>
    <row r="130" ht="22.5" customHeight="1">
      <c r="A130" s="123" t="s">
        <v>405</v>
      </c>
      <c r="B130" s="122" t="s">
        <v>281</v>
      </c>
      <c r="C130" s="358">
        <v>2.47</v>
      </c>
      <c r="D130" s="358">
        <v>5.0</v>
      </c>
      <c r="E130" s="358">
        <v>15.0</v>
      </c>
      <c r="G130" s="358">
        <v>0.0</v>
      </c>
    </row>
    <row r="131" ht="22.5" customHeight="1">
      <c r="A131" s="123" t="s">
        <v>401</v>
      </c>
      <c r="B131" s="122" t="s">
        <v>281</v>
      </c>
      <c r="C131" s="358">
        <v>3.67</v>
      </c>
      <c r="D131" s="358">
        <v>5.0</v>
      </c>
      <c r="E131" s="358">
        <v>12.0</v>
      </c>
      <c r="G131" s="358">
        <v>0.0</v>
      </c>
    </row>
    <row r="132" ht="22.5" customHeight="1">
      <c r="A132" s="123" t="s">
        <v>393</v>
      </c>
      <c r="B132" s="122" t="s">
        <v>281</v>
      </c>
      <c r="C132" s="358">
        <v>2.6</v>
      </c>
      <c r="D132" s="358">
        <v>4.0</v>
      </c>
      <c r="E132" s="358">
        <v>12.0</v>
      </c>
      <c r="G132" s="358">
        <v>0.0</v>
      </c>
    </row>
    <row r="133" ht="22.5" customHeight="1">
      <c r="A133" s="123" t="s">
        <v>406</v>
      </c>
      <c r="B133" s="122" t="s">
        <v>281</v>
      </c>
      <c r="C133" s="358">
        <v>3.2</v>
      </c>
      <c r="D133" s="358">
        <v>5.0</v>
      </c>
      <c r="E133" s="358">
        <v>10.0</v>
      </c>
      <c r="G133" s="358">
        <v>0.0</v>
      </c>
    </row>
    <row r="134" ht="22.5" customHeight="1">
      <c r="A134" s="123" t="s">
        <v>407</v>
      </c>
      <c r="B134" s="122" t="s">
        <v>281</v>
      </c>
      <c r="C134" s="358">
        <v>2.27</v>
      </c>
      <c r="D134" s="358">
        <v>4.0</v>
      </c>
      <c r="E134" s="358">
        <v>30.0</v>
      </c>
      <c r="G134" s="358">
        <v>0.0</v>
      </c>
    </row>
    <row r="135" ht="22.5" customHeight="1">
      <c r="A135" s="123" t="s">
        <v>408</v>
      </c>
      <c r="B135" s="122" t="s">
        <v>281</v>
      </c>
      <c r="C135" s="358">
        <v>2.16</v>
      </c>
      <c r="D135" s="358">
        <v>4.0</v>
      </c>
      <c r="E135" s="358">
        <v>18.0</v>
      </c>
      <c r="G135" s="358">
        <v>0.0</v>
      </c>
    </row>
    <row r="136" ht="22.5" customHeight="1">
      <c r="A136" s="123" t="s">
        <v>409</v>
      </c>
      <c r="B136" s="122" t="s">
        <v>281</v>
      </c>
      <c r="C136" s="358">
        <v>2.27</v>
      </c>
      <c r="D136" s="358">
        <v>4.0</v>
      </c>
      <c r="E136" s="358">
        <v>18.0</v>
      </c>
      <c r="G136" s="358">
        <v>0.0</v>
      </c>
    </row>
    <row r="137" ht="22.5" customHeight="1">
      <c r="A137" s="123" t="s">
        <v>410</v>
      </c>
      <c r="B137" s="122" t="s">
        <v>281</v>
      </c>
      <c r="C137" s="358">
        <v>1.55</v>
      </c>
      <c r="D137" s="358">
        <v>4.0</v>
      </c>
      <c r="E137" s="358">
        <v>18.0</v>
      </c>
      <c r="G137" s="358">
        <v>0.0</v>
      </c>
    </row>
    <row r="138" ht="22.5" customHeight="1">
      <c r="A138" s="123" t="s">
        <v>503</v>
      </c>
      <c r="B138" s="122" t="s">
        <v>281</v>
      </c>
      <c r="C138" s="358">
        <v>2.33</v>
      </c>
      <c r="D138" s="358">
        <v>4.0</v>
      </c>
      <c r="E138" s="358">
        <v>18.0</v>
      </c>
      <c r="G138" s="358">
        <v>0.0</v>
      </c>
    </row>
    <row r="139" ht="22.5" customHeight="1">
      <c r="A139" s="123" t="s">
        <v>403</v>
      </c>
      <c r="B139" s="122" t="s">
        <v>281</v>
      </c>
      <c r="C139" s="358">
        <v>10.0</v>
      </c>
      <c r="D139" s="358">
        <v>20.0</v>
      </c>
      <c r="E139" s="358">
        <v>18.0</v>
      </c>
      <c r="G139" s="358">
        <v>0.0</v>
      </c>
    </row>
    <row r="140" ht="22.5" customHeight="1">
      <c r="A140" s="123" t="s">
        <v>403</v>
      </c>
      <c r="B140" s="122" t="s">
        <v>281</v>
      </c>
      <c r="C140" s="358">
        <v>8.8</v>
      </c>
      <c r="D140" s="358">
        <v>20.0</v>
      </c>
      <c r="E140" s="358">
        <v>18.0</v>
      </c>
      <c r="G140" s="358">
        <v>0.0</v>
      </c>
    </row>
    <row r="141" ht="22.5" customHeight="1">
      <c r="A141" s="123" t="s">
        <v>412</v>
      </c>
      <c r="B141" s="122" t="s">
        <v>281</v>
      </c>
      <c r="C141" s="358">
        <v>8.8</v>
      </c>
      <c r="D141" s="358">
        <v>10.0</v>
      </c>
      <c r="E141" s="358">
        <v>10.0</v>
      </c>
      <c r="G141" s="358">
        <v>0.0</v>
      </c>
    </row>
    <row r="142" ht="22.5" customHeight="1">
      <c r="A142" s="123" t="s">
        <v>413</v>
      </c>
      <c r="B142" s="360"/>
      <c r="C142" s="358">
        <v>0.0</v>
      </c>
      <c r="D142" s="358">
        <v>0.0</v>
      </c>
      <c r="E142" s="358">
        <v>0.0</v>
      </c>
      <c r="G142" s="358">
        <v>0.0</v>
      </c>
    </row>
    <row r="143" ht="22.5" customHeight="1">
      <c r="A143" s="123" t="s">
        <v>414</v>
      </c>
      <c r="B143" s="122" t="s">
        <v>281</v>
      </c>
      <c r="C143" s="358">
        <v>13.4</v>
      </c>
      <c r="D143" s="358">
        <v>20.0</v>
      </c>
      <c r="E143" s="358">
        <v>18.0</v>
      </c>
      <c r="G143" s="358">
        <v>0.0</v>
      </c>
    </row>
    <row r="144" ht="22.5" customHeight="1">
      <c r="A144" s="123" t="s">
        <v>414</v>
      </c>
      <c r="B144" s="122" t="s">
        <v>281</v>
      </c>
      <c r="C144" s="358">
        <v>13.3</v>
      </c>
      <c r="D144" s="358">
        <v>20.0</v>
      </c>
      <c r="E144" s="358">
        <v>18.0</v>
      </c>
      <c r="G144" s="358">
        <v>0.0</v>
      </c>
    </row>
    <row r="145" ht="22.5" customHeight="1">
      <c r="A145" s="123" t="s">
        <v>409</v>
      </c>
      <c r="B145" s="122" t="s">
        <v>281</v>
      </c>
      <c r="C145" s="358">
        <v>2.33</v>
      </c>
      <c r="D145" s="358">
        <v>4.0</v>
      </c>
      <c r="E145" s="358">
        <v>18.0</v>
      </c>
      <c r="G145" s="358">
        <v>0.0</v>
      </c>
    </row>
    <row r="146" ht="22.5" customHeight="1">
      <c r="A146" s="123" t="s">
        <v>415</v>
      </c>
      <c r="B146" s="122" t="s">
        <v>281</v>
      </c>
      <c r="C146" s="358">
        <v>1.55</v>
      </c>
      <c r="D146" s="358">
        <v>4.0</v>
      </c>
      <c r="E146" s="358">
        <v>18.0</v>
      </c>
      <c r="G146" s="358">
        <v>0.0</v>
      </c>
    </row>
    <row r="147" ht="22.5" customHeight="1">
      <c r="A147" s="123" t="s">
        <v>393</v>
      </c>
      <c r="B147" s="122" t="s">
        <v>281</v>
      </c>
      <c r="C147" s="358">
        <v>2.66</v>
      </c>
      <c r="D147" s="358">
        <v>4.0</v>
      </c>
      <c r="E147" s="358">
        <v>12.0</v>
      </c>
      <c r="G147" s="358">
        <v>0.0</v>
      </c>
    </row>
    <row r="148" ht="22.5" customHeight="1">
      <c r="A148" s="123" t="s">
        <v>416</v>
      </c>
      <c r="B148" s="122" t="s">
        <v>281</v>
      </c>
      <c r="C148" s="358">
        <v>3.2</v>
      </c>
      <c r="D148" s="358">
        <v>5.0</v>
      </c>
      <c r="E148" s="358">
        <v>20.0</v>
      </c>
      <c r="G148" s="358">
        <v>0.0</v>
      </c>
    </row>
    <row r="149" ht="22.5" customHeight="1">
      <c r="A149" s="123" t="s">
        <v>417</v>
      </c>
      <c r="B149" s="122" t="s">
        <v>281</v>
      </c>
      <c r="C149" s="358">
        <v>4.0</v>
      </c>
      <c r="D149" s="358">
        <v>5.0</v>
      </c>
      <c r="E149" s="358">
        <v>10.0</v>
      </c>
      <c r="G149" s="358">
        <v>0.0</v>
      </c>
    </row>
    <row r="150" ht="22.5" customHeight="1">
      <c r="A150" s="123" t="s">
        <v>504</v>
      </c>
      <c r="B150" s="122" t="s">
        <v>281</v>
      </c>
      <c r="C150" s="358">
        <v>4.42</v>
      </c>
      <c r="D150" s="358">
        <v>6.0</v>
      </c>
      <c r="E150" s="358">
        <v>12.0</v>
      </c>
      <c r="G150" s="358">
        <v>0.0</v>
      </c>
    </row>
    <row r="151" ht="22.5" customHeight="1">
      <c r="A151" s="123" t="s">
        <v>419</v>
      </c>
      <c r="B151" s="122" t="s">
        <v>281</v>
      </c>
      <c r="C151" s="358">
        <v>4.25</v>
      </c>
      <c r="D151" s="358">
        <v>6.0</v>
      </c>
      <c r="E151" s="358">
        <v>12.0</v>
      </c>
      <c r="G151" s="358">
        <v>0.0</v>
      </c>
    </row>
    <row r="152" ht="22.5" customHeight="1">
      <c r="A152" s="123" t="s">
        <v>420</v>
      </c>
      <c r="B152" s="122" t="s">
        <v>281</v>
      </c>
      <c r="C152" s="358">
        <v>2.5</v>
      </c>
      <c r="D152" s="358">
        <v>4.0</v>
      </c>
      <c r="E152" s="358">
        <v>12.0</v>
      </c>
      <c r="G152" s="358">
        <v>0.0</v>
      </c>
    </row>
    <row r="153" ht="22.5" customHeight="1">
      <c r="A153" s="123" t="s">
        <v>421</v>
      </c>
      <c r="B153" s="360"/>
      <c r="C153" s="358">
        <v>0.0</v>
      </c>
      <c r="D153" s="358">
        <v>0.0</v>
      </c>
      <c r="E153" s="358">
        <v>0.0</v>
      </c>
      <c r="G153" s="358">
        <v>0.0</v>
      </c>
    </row>
    <row r="154" ht="22.5" customHeight="1">
      <c r="A154" s="123" t="s">
        <v>393</v>
      </c>
      <c r="B154" s="122" t="s">
        <v>281</v>
      </c>
      <c r="C154" s="358">
        <v>2.66</v>
      </c>
      <c r="D154" s="358">
        <v>4.0</v>
      </c>
      <c r="E154" s="358">
        <v>12.0</v>
      </c>
      <c r="G154" s="358">
        <v>0.0</v>
      </c>
    </row>
    <row r="155" ht="22.5" customHeight="1">
      <c r="A155" s="123" t="s">
        <v>416</v>
      </c>
      <c r="B155" s="122" t="s">
        <v>281</v>
      </c>
      <c r="C155" s="358">
        <v>3.2</v>
      </c>
      <c r="D155" s="358">
        <v>5.0</v>
      </c>
      <c r="E155" s="358">
        <v>20.0</v>
      </c>
      <c r="G155" s="358">
        <v>0.0</v>
      </c>
    </row>
    <row r="156" ht="22.5" customHeight="1">
      <c r="A156" s="123" t="s">
        <v>502</v>
      </c>
      <c r="B156" s="122" t="s">
        <v>281</v>
      </c>
      <c r="C156" s="358">
        <v>2.06</v>
      </c>
      <c r="D156" s="358">
        <v>3.0</v>
      </c>
      <c r="E156" s="358">
        <v>15.0</v>
      </c>
      <c r="G156" s="358">
        <v>0.0</v>
      </c>
    </row>
    <row r="157" ht="22.5" customHeight="1">
      <c r="A157" s="123" t="s">
        <v>409</v>
      </c>
      <c r="B157" s="122" t="s">
        <v>281</v>
      </c>
      <c r="C157" s="358">
        <v>2.27</v>
      </c>
      <c r="D157" s="358">
        <v>4.0</v>
      </c>
      <c r="E157" s="358">
        <v>18.0</v>
      </c>
      <c r="G157" s="358">
        <v>0.0</v>
      </c>
    </row>
    <row r="158" ht="22.5" customHeight="1">
      <c r="A158" s="123" t="s">
        <v>422</v>
      </c>
      <c r="B158" s="122" t="s">
        <v>281</v>
      </c>
      <c r="C158" s="358">
        <v>2.5</v>
      </c>
      <c r="D158" s="358">
        <v>4.0</v>
      </c>
      <c r="E158" s="358">
        <v>18.0</v>
      </c>
      <c r="G158" s="358">
        <v>0.0</v>
      </c>
    </row>
    <row r="159" ht="22.5" customHeight="1">
      <c r="A159" s="123" t="s">
        <v>423</v>
      </c>
      <c r="B159" s="122" t="s">
        <v>281</v>
      </c>
      <c r="C159" s="358">
        <v>2.5</v>
      </c>
      <c r="D159" s="358">
        <v>4.0</v>
      </c>
      <c r="E159" s="358">
        <v>12.0</v>
      </c>
      <c r="G159" s="358">
        <v>0.0</v>
      </c>
    </row>
    <row r="160" ht="22.5" customHeight="1">
      <c r="A160" s="123" t="s">
        <v>424</v>
      </c>
      <c r="B160" s="122" t="s">
        <v>281</v>
      </c>
      <c r="C160" s="358">
        <v>2.5</v>
      </c>
      <c r="D160" s="358">
        <v>4.0</v>
      </c>
      <c r="E160" s="358">
        <v>12.0</v>
      </c>
      <c r="G160" s="358">
        <v>0.0</v>
      </c>
    </row>
    <row r="161" ht="22.5" customHeight="1">
      <c r="A161" s="123" t="s">
        <v>425</v>
      </c>
      <c r="B161" s="122" t="s">
        <v>281</v>
      </c>
      <c r="C161" s="358">
        <v>14.0</v>
      </c>
      <c r="D161" s="358">
        <v>20.0</v>
      </c>
      <c r="E161" s="358">
        <v>1.0</v>
      </c>
      <c r="G161" s="358">
        <v>0.0</v>
      </c>
    </row>
    <row r="162" ht="22.5" customHeight="1">
      <c r="A162" s="123" t="s">
        <v>426</v>
      </c>
      <c r="B162" s="122" t="s">
        <v>281</v>
      </c>
      <c r="C162" s="358">
        <v>1.33</v>
      </c>
      <c r="D162" s="358">
        <v>3.0</v>
      </c>
      <c r="E162" s="358">
        <v>12.0</v>
      </c>
      <c r="G162" s="358">
        <v>0.0</v>
      </c>
    </row>
    <row r="163" ht="22.5" customHeight="1">
      <c r="A163" s="123" t="s">
        <v>401</v>
      </c>
      <c r="B163" s="122" t="s">
        <v>281</v>
      </c>
      <c r="C163" s="358">
        <v>2.0</v>
      </c>
      <c r="D163" s="358">
        <v>4.0</v>
      </c>
      <c r="E163" s="358">
        <v>6.0</v>
      </c>
      <c r="G163" s="358">
        <v>0.0</v>
      </c>
    </row>
    <row r="164" ht="22.5" customHeight="1">
      <c r="A164" s="123" t="s">
        <v>282</v>
      </c>
      <c r="B164" s="360"/>
      <c r="C164" s="358">
        <v>0.0</v>
      </c>
      <c r="D164" s="358">
        <v>0.0</v>
      </c>
      <c r="E164" s="358">
        <v>0.0</v>
      </c>
      <c r="G164" s="358">
        <v>0.0</v>
      </c>
    </row>
    <row r="165" ht="22.5" customHeight="1">
      <c r="A165" s="123" t="s">
        <v>393</v>
      </c>
      <c r="B165" s="122" t="s">
        <v>281</v>
      </c>
      <c r="C165" s="358">
        <v>2.66</v>
      </c>
      <c r="D165" s="358">
        <v>4.0</v>
      </c>
      <c r="E165" s="358">
        <v>12.0</v>
      </c>
      <c r="G165" s="358">
        <v>0.0</v>
      </c>
    </row>
    <row r="166" ht="22.5" customHeight="1">
      <c r="A166" s="123" t="s">
        <v>426</v>
      </c>
      <c r="B166" s="122" t="s">
        <v>281</v>
      </c>
      <c r="C166" s="358">
        <v>1.33</v>
      </c>
      <c r="D166" s="358">
        <v>3.0</v>
      </c>
      <c r="E166" s="358">
        <v>12.0</v>
      </c>
      <c r="G166" s="358">
        <v>0.0</v>
      </c>
    </row>
    <row r="167" ht="22.5" customHeight="1">
      <c r="A167" s="123" t="s">
        <v>416</v>
      </c>
      <c r="B167" s="122" t="s">
        <v>281</v>
      </c>
      <c r="C167" s="358">
        <v>3.2</v>
      </c>
      <c r="D167" s="358">
        <v>5.0</v>
      </c>
      <c r="E167" s="358">
        <v>20.0</v>
      </c>
      <c r="G167" s="358">
        <v>0.0</v>
      </c>
    </row>
    <row r="168" ht="22.5" customHeight="1">
      <c r="A168" s="123" t="s">
        <v>409</v>
      </c>
      <c r="B168" s="122" t="s">
        <v>281</v>
      </c>
      <c r="C168" s="358">
        <v>2.27</v>
      </c>
      <c r="D168" s="358">
        <v>4.0</v>
      </c>
      <c r="E168" s="358">
        <v>18.0</v>
      </c>
      <c r="G168" s="358">
        <v>0.0</v>
      </c>
    </row>
    <row r="169" ht="22.5" customHeight="1">
      <c r="A169" s="123" t="s">
        <v>427</v>
      </c>
      <c r="B169" s="122" t="s">
        <v>281</v>
      </c>
      <c r="C169" s="358">
        <v>2.2</v>
      </c>
      <c r="D169" s="358">
        <v>5.0</v>
      </c>
      <c r="E169" s="358">
        <v>10.0</v>
      </c>
      <c r="G169" s="358">
        <v>0.0</v>
      </c>
    </row>
    <row r="170" ht="22.5" customHeight="1">
      <c r="A170" s="123" t="s">
        <v>428</v>
      </c>
      <c r="B170" s="122" t="s">
        <v>281</v>
      </c>
      <c r="C170" s="358">
        <v>3.0</v>
      </c>
      <c r="D170" s="358">
        <v>5.0</v>
      </c>
      <c r="E170" s="358">
        <v>12.0</v>
      </c>
      <c r="G170" s="358">
        <v>0.0</v>
      </c>
    </row>
    <row r="171" ht="22.5" customHeight="1">
      <c r="A171" s="123" t="s">
        <v>429</v>
      </c>
      <c r="B171" s="122" t="s">
        <v>281</v>
      </c>
      <c r="C171" s="358">
        <v>2.91</v>
      </c>
      <c r="D171" s="358">
        <v>5.0</v>
      </c>
      <c r="E171" s="358">
        <v>12.0</v>
      </c>
      <c r="G171" s="358">
        <v>0.0</v>
      </c>
    </row>
    <row r="172" ht="22.5" customHeight="1">
      <c r="A172" s="123" t="s">
        <v>430</v>
      </c>
      <c r="B172" s="122" t="s">
        <v>281</v>
      </c>
      <c r="C172" s="358">
        <v>5.1</v>
      </c>
      <c r="D172" s="358">
        <v>7.0</v>
      </c>
      <c r="E172" s="358">
        <v>10.0</v>
      </c>
      <c r="G172" s="358">
        <v>0.0</v>
      </c>
    </row>
    <row r="173" ht="22.5" customHeight="1">
      <c r="A173" s="123" t="s">
        <v>422</v>
      </c>
      <c r="B173" s="122" t="s">
        <v>281</v>
      </c>
      <c r="C173" s="358">
        <v>2.5</v>
      </c>
      <c r="D173" s="358">
        <v>4.0</v>
      </c>
      <c r="E173" s="358">
        <v>18.0</v>
      </c>
      <c r="G173" s="358">
        <v>0.0</v>
      </c>
    </row>
    <row r="174" ht="22.5" customHeight="1">
      <c r="A174" s="123" t="s">
        <v>425</v>
      </c>
      <c r="B174" s="122" t="s">
        <v>281</v>
      </c>
      <c r="C174" s="358">
        <v>14.0</v>
      </c>
      <c r="D174" s="358">
        <v>20.0</v>
      </c>
      <c r="E174" s="358">
        <v>7.0</v>
      </c>
      <c r="G174" s="358">
        <v>0.0</v>
      </c>
    </row>
    <row r="175" ht="22.5" customHeight="1">
      <c r="A175" s="123" t="s">
        <v>375</v>
      </c>
      <c r="B175" s="360"/>
      <c r="C175" s="358">
        <v>0.0</v>
      </c>
      <c r="D175" s="358">
        <v>0.0</v>
      </c>
      <c r="E175" s="358">
        <v>0.0</v>
      </c>
      <c r="G175" s="358">
        <v>0.0</v>
      </c>
    </row>
    <row r="176" ht="22.5" customHeight="1">
      <c r="A176" s="123" t="s">
        <v>432</v>
      </c>
      <c r="B176" s="122" t="s">
        <v>505</v>
      </c>
      <c r="C176" s="358">
        <v>1.56</v>
      </c>
      <c r="D176" s="358">
        <v>2.0</v>
      </c>
      <c r="E176" s="358">
        <v>24.0</v>
      </c>
      <c r="G176" s="358">
        <v>0.0</v>
      </c>
    </row>
    <row r="177" ht="22.5" customHeight="1">
      <c r="A177" s="123" t="s">
        <v>433</v>
      </c>
      <c r="B177" s="122" t="s">
        <v>505</v>
      </c>
      <c r="C177" s="358">
        <v>0.58</v>
      </c>
      <c r="D177" s="358">
        <v>1.0</v>
      </c>
      <c r="E177" s="358">
        <v>24.0</v>
      </c>
      <c r="G177" s="358">
        <v>0.0</v>
      </c>
    </row>
    <row r="178" ht="22.5" customHeight="1">
      <c r="A178" s="123" t="s">
        <v>506</v>
      </c>
      <c r="B178" s="360"/>
      <c r="C178" s="358">
        <v>0.68</v>
      </c>
      <c r="D178" s="358">
        <v>1.0</v>
      </c>
      <c r="E178" s="358">
        <v>0.0</v>
      </c>
      <c r="G178" s="358">
        <v>0.0</v>
      </c>
    </row>
    <row r="179" ht="22.5" customHeight="1">
      <c r="A179" s="123" t="s">
        <v>435</v>
      </c>
      <c r="B179" s="360"/>
      <c r="C179" s="358">
        <v>1.16</v>
      </c>
      <c r="D179" s="358">
        <v>2.0</v>
      </c>
      <c r="E179" s="358">
        <v>0.0</v>
      </c>
      <c r="G179" s="358">
        <v>0.0</v>
      </c>
    </row>
    <row r="180" ht="22.5" customHeight="1">
      <c r="A180" s="123" t="s">
        <v>507</v>
      </c>
      <c r="B180" s="360"/>
      <c r="C180" s="358">
        <v>2.31</v>
      </c>
      <c r="D180" s="358">
        <v>3.0</v>
      </c>
      <c r="E180" s="358">
        <v>0.0</v>
      </c>
      <c r="G180" s="358">
        <v>0.0</v>
      </c>
    </row>
    <row r="181" ht="22.5" customHeight="1">
      <c r="A181" s="123" t="s">
        <v>437</v>
      </c>
      <c r="B181" s="360"/>
      <c r="C181" s="358">
        <v>1.14</v>
      </c>
      <c r="D181" s="358">
        <v>2.0</v>
      </c>
      <c r="E181" s="358">
        <v>0.0</v>
      </c>
      <c r="G181" s="358">
        <v>0.0</v>
      </c>
    </row>
    <row r="182" ht="22.5" customHeight="1">
      <c r="A182" s="123" t="s">
        <v>438</v>
      </c>
      <c r="B182" s="122" t="s">
        <v>505</v>
      </c>
      <c r="C182" s="358">
        <v>1.33</v>
      </c>
      <c r="D182" s="358">
        <v>2.0</v>
      </c>
      <c r="E182" s="358">
        <v>24.0</v>
      </c>
      <c r="G182" s="358">
        <v>0.0</v>
      </c>
    </row>
    <row r="183" ht="22.5" customHeight="1">
      <c r="A183" s="123" t="s">
        <v>439</v>
      </c>
      <c r="B183" s="360"/>
      <c r="C183" s="358">
        <v>1.1</v>
      </c>
      <c r="D183" s="358">
        <v>2.0</v>
      </c>
      <c r="E183" s="358">
        <v>0.0</v>
      </c>
      <c r="G183" s="358">
        <v>0.0</v>
      </c>
    </row>
    <row r="184" ht="22.5" customHeight="1">
      <c r="A184" s="123" t="s">
        <v>508</v>
      </c>
      <c r="B184" s="122" t="s">
        <v>505</v>
      </c>
      <c r="C184" s="358">
        <v>0.4</v>
      </c>
      <c r="D184" s="358">
        <v>1.0</v>
      </c>
      <c r="E184" s="358">
        <v>24.0</v>
      </c>
      <c r="G184" s="358">
        <v>0.0</v>
      </c>
    </row>
    <row r="185" ht="22.5" customHeight="1">
      <c r="A185" s="123" t="s">
        <v>441</v>
      </c>
      <c r="B185" s="122" t="s">
        <v>505</v>
      </c>
      <c r="C185" s="358">
        <v>1.12</v>
      </c>
      <c r="D185" s="358">
        <v>2.0</v>
      </c>
      <c r="E185" s="358">
        <v>24.0</v>
      </c>
      <c r="G185" s="358">
        <v>0.0</v>
      </c>
    </row>
    <row r="186" ht="22.5" customHeight="1">
      <c r="A186" s="123" t="s">
        <v>442</v>
      </c>
      <c r="B186" s="360"/>
      <c r="C186" s="358">
        <v>0.0</v>
      </c>
      <c r="D186" s="358">
        <v>0.0</v>
      </c>
      <c r="E186" s="358">
        <v>0.0</v>
      </c>
      <c r="G186" s="358">
        <v>0.0</v>
      </c>
    </row>
    <row r="187" ht="22.5" customHeight="1">
      <c r="A187" s="123" t="s">
        <v>443</v>
      </c>
      <c r="B187" s="122" t="s">
        <v>505</v>
      </c>
      <c r="C187" s="358">
        <v>1.3</v>
      </c>
      <c r="D187" s="358">
        <v>2.0</v>
      </c>
      <c r="E187" s="358">
        <v>24.0</v>
      </c>
      <c r="G187" s="358">
        <v>0.0</v>
      </c>
    </row>
    <row r="188" ht="22.5" customHeight="1">
      <c r="A188" s="123" t="s">
        <v>444</v>
      </c>
      <c r="B188" s="122" t="s">
        <v>505</v>
      </c>
      <c r="C188" s="358">
        <v>1.75</v>
      </c>
      <c r="D188" s="358">
        <v>2.0</v>
      </c>
      <c r="E188" s="358">
        <v>24.0</v>
      </c>
      <c r="G188" s="358">
        <v>0.0</v>
      </c>
    </row>
    <row r="189" ht="22.5" customHeight="1">
      <c r="A189" s="123" t="s">
        <v>324</v>
      </c>
      <c r="B189" s="360"/>
      <c r="C189" s="358">
        <v>0.0</v>
      </c>
      <c r="D189" s="358">
        <v>0.0</v>
      </c>
      <c r="E189" s="358">
        <v>0.0</v>
      </c>
      <c r="G189" s="358">
        <v>0.0</v>
      </c>
    </row>
    <row r="190" ht="22.5" customHeight="1">
      <c r="A190" s="123" t="s">
        <v>432</v>
      </c>
      <c r="B190" s="122" t="s">
        <v>505</v>
      </c>
      <c r="C190" s="358">
        <v>1.77</v>
      </c>
      <c r="D190" s="358">
        <v>2.0</v>
      </c>
      <c r="E190" s="358">
        <v>24.0</v>
      </c>
      <c r="G190" s="358">
        <v>0.0</v>
      </c>
    </row>
    <row r="191" ht="22.5" customHeight="1">
      <c r="A191" s="123" t="s">
        <v>432</v>
      </c>
      <c r="B191" s="122" t="s">
        <v>505</v>
      </c>
      <c r="C191" s="358">
        <v>1.58</v>
      </c>
      <c r="D191" s="358">
        <v>2.0</v>
      </c>
      <c r="E191" s="358">
        <v>24.0</v>
      </c>
      <c r="G191" s="358">
        <v>0.0</v>
      </c>
    </row>
    <row r="192" ht="22.5" customHeight="1">
      <c r="A192" s="123" t="s">
        <v>445</v>
      </c>
      <c r="B192" s="122" t="s">
        <v>505</v>
      </c>
      <c r="C192" s="358">
        <v>1.45</v>
      </c>
      <c r="D192" s="358">
        <v>2.0</v>
      </c>
      <c r="E192" s="358">
        <v>24.0</v>
      </c>
      <c r="G192" s="358">
        <v>0.0</v>
      </c>
    </row>
    <row r="193" ht="22.5" customHeight="1">
      <c r="A193" s="123" t="s">
        <v>509</v>
      </c>
      <c r="B193" s="122" t="s">
        <v>505</v>
      </c>
      <c r="C193" s="358">
        <v>1.29</v>
      </c>
      <c r="D193" s="358">
        <v>2.0</v>
      </c>
      <c r="E193" s="358">
        <v>24.0</v>
      </c>
      <c r="G193" s="358">
        <v>0.0</v>
      </c>
    </row>
    <row r="194" ht="22.5" customHeight="1">
      <c r="A194" s="119" t="s">
        <v>447</v>
      </c>
      <c r="B194" s="122" t="s">
        <v>505</v>
      </c>
      <c r="C194" s="358">
        <v>0.66</v>
      </c>
      <c r="D194" s="358">
        <v>1.0</v>
      </c>
      <c r="E194" s="358">
        <v>50.0</v>
      </c>
      <c r="G194" s="358">
        <v>0.0</v>
      </c>
    </row>
    <row r="195" ht="22.5" customHeight="1">
      <c r="A195" s="123" t="s">
        <v>438</v>
      </c>
      <c r="B195" s="122" t="s">
        <v>505</v>
      </c>
      <c r="C195" s="358">
        <v>1.37</v>
      </c>
      <c r="D195" s="358">
        <v>2.0</v>
      </c>
      <c r="E195" s="358">
        <v>24.0</v>
      </c>
      <c r="G195" s="358">
        <v>0.0</v>
      </c>
    </row>
    <row r="196" ht="22.5" customHeight="1">
      <c r="A196" s="123" t="s">
        <v>441</v>
      </c>
      <c r="B196" s="122" t="s">
        <v>505</v>
      </c>
      <c r="C196" s="358">
        <v>1.166</v>
      </c>
      <c r="D196" s="358">
        <v>2.0</v>
      </c>
      <c r="E196" s="358">
        <v>24.0</v>
      </c>
      <c r="G196" s="358">
        <v>0.0</v>
      </c>
    </row>
    <row r="197" ht="22.5" customHeight="1">
      <c r="A197" s="123" t="s">
        <v>448</v>
      </c>
      <c r="B197" s="122" t="s">
        <v>505</v>
      </c>
      <c r="C197" s="358">
        <v>0.41</v>
      </c>
      <c r="D197" s="358">
        <v>1.0</v>
      </c>
      <c r="E197" s="358">
        <v>24.0</v>
      </c>
      <c r="G197" s="358">
        <v>0.0</v>
      </c>
    </row>
    <row r="198" ht="22.5" customHeight="1">
      <c r="A198" s="123" t="s">
        <v>449</v>
      </c>
      <c r="B198" s="122" t="s">
        <v>505</v>
      </c>
      <c r="C198" s="358">
        <v>0.41</v>
      </c>
      <c r="D198" s="358">
        <v>1.0</v>
      </c>
      <c r="E198" s="358">
        <v>24.0</v>
      </c>
      <c r="G198" s="358">
        <v>0.0</v>
      </c>
    </row>
    <row r="199" ht="22.5" customHeight="1">
      <c r="A199" s="123" t="s">
        <v>450</v>
      </c>
      <c r="B199" s="122" t="s">
        <v>505</v>
      </c>
      <c r="C199" s="358">
        <v>0.45</v>
      </c>
      <c r="D199" s="358">
        <v>1.0</v>
      </c>
      <c r="E199" s="358">
        <v>24.0</v>
      </c>
      <c r="G199" s="358">
        <v>0.0</v>
      </c>
    </row>
    <row r="200" ht="22.5" customHeight="1">
      <c r="A200" s="123" t="s">
        <v>451</v>
      </c>
      <c r="B200" s="122" t="s">
        <v>505</v>
      </c>
      <c r="C200" s="358">
        <v>0.333</v>
      </c>
      <c r="D200" s="358">
        <v>1.0</v>
      </c>
      <c r="E200" s="358">
        <v>30.0</v>
      </c>
      <c r="G200" s="358">
        <v>0.0</v>
      </c>
    </row>
    <row r="201" ht="22.5" customHeight="1">
      <c r="A201" s="123" t="s">
        <v>452</v>
      </c>
      <c r="B201" s="122" t="s">
        <v>505</v>
      </c>
      <c r="C201" s="358">
        <v>0.625</v>
      </c>
      <c r="D201" s="358">
        <v>1.0</v>
      </c>
      <c r="E201" s="358">
        <v>24.0</v>
      </c>
      <c r="G201" s="358">
        <v>0.0</v>
      </c>
    </row>
    <row r="202" ht="22.5" customHeight="1">
      <c r="A202" s="123" t="s">
        <v>453</v>
      </c>
      <c r="B202" s="360"/>
      <c r="C202" s="358">
        <v>0.0</v>
      </c>
      <c r="D202" s="358">
        <v>0.0</v>
      </c>
      <c r="E202" s="358">
        <v>0.0</v>
      </c>
      <c r="G202" s="358">
        <v>0.0</v>
      </c>
    </row>
    <row r="203" ht="22.5" customHeight="1">
      <c r="A203" s="123" t="s">
        <v>432</v>
      </c>
      <c r="B203" s="122" t="s">
        <v>505</v>
      </c>
      <c r="C203" s="358">
        <v>1.54</v>
      </c>
      <c r="D203" s="358">
        <v>2.0</v>
      </c>
      <c r="E203" s="358">
        <v>24.0</v>
      </c>
      <c r="G203" s="358">
        <v>0.0</v>
      </c>
    </row>
    <row r="204" ht="22.5" customHeight="1">
      <c r="A204" s="123" t="s">
        <v>454</v>
      </c>
      <c r="B204" s="122" t="s">
        <v>505</v>
      </c>
      <c r="C204" s="358">
        <v>1.2</v>
      </c>
      <c r="D204" s="358">
        <v>2.0</v>
      </c>
      <c r="E204" s="358">
        <v>24.0</v>
      </c>
      <c r="G204" s="358">
        <v>0.0</v>
      </c>
    </row>
    <row r="205" ht="22.5" customHeight="1">
      <c r="A205" s="123" t="s">
        <v>455</v>
      </c>
      <c r="B205" s="122" t="s">
        <v>505</v>
      </c>
      <c r="C205" s="358">
        <v>1.37</v>
      </c>
      <c r="D205" s="358">
        <v>2.0</v>
      </c>
      <c r="E205" s="358">
        <v>24.0</v>
      </c>
      <c r="G205" s="358">
        <v>0.0</v>
      </c>
    </row>
    <row r="206" ht="22.5" customHeight="1">
      <c r="A206" s="123" t="s">
        <v>456</v>
      </c>
      <c r="B206" s="122" t="s">
        <v>505</v>
      </c>
      <c r="C206" s="358">
        <v>0.83</v>
      </c>
      <c r="D206" s="358">
        <v>1.0</v>
      </c>
      <c r="E206" s="358">
        <v>24.0</v>
      </c>
      <c r="G206" s="358">
        <v>0.0</v>
      </c>
    </row>
    <row r="207" ht="22.5" customHeight="1">
      <c r="A207" s="123" t="s">
        <v>457</v>
      </c>
      <c r="B207" s="122" t="s">
        <v>505</v>
      </c>
      <c r="C207" s="358">
        <v>0.66</v>
      </c>
      <c r="D207" s="358">
        <v>1.0</v>
      </c>
      <c r="E207" s="358">
        <v>50.0</v>
      </c>
      <c r="G207" s="358">
        <v>0.0</v>
      </c>
    </row>
    <row r="208" ht="22.5" customHeight="1">
      <c r="A208" s="123" t="s">
        <v>458</v>
      </c>
      <c r="B208" s="122" t="s">
        <v>505</v>
      </c>
      <c r="C208" s="358">
        <v>0.67</v>
      </c>
      <c r="D208" s="358">
        <v>1.0</v>
      </c>
      <c r="E208" s="358">
        <v>24.0</v>
      </c>
      <c r="G208" s="358">
        <v>0.0</v>
      </c>
    </row>
    <row r="209" ht="22.5" customHeight="1">
      <c r="A209" s="123" t="s">
        <v>459</v>
      </c>
      <c r="B209" s="122" t="s">
        <v>505</v>
      </c>
      <c r="C209" s="358">
        <v>0.45</v>
      </c>
      <c r="D209" s="358">
        <v>1.0</v>
      </c>
      <c r="E209" s="358">
        <v>24.0</v>
      </c>
      <c r="G209" s="358">
        <v>0.0</v>
      </c>
    </row>
    <row r="210" ht="22.5" customHeight="1">
      <c r="A210" s="123" t="s">
        <v>460</v>
      </c>
      <c r="B210" s="122" t="s">
        <v>505</v>
      </c>
      <c r="C210" s="358">
        <v>2.5</v>
      </c>
      <c r="D210" s="358">
        <v>3.0</v>
      </c>
      <c r="E210" s="358">
        <v>24.0</v>
      </c>
      <c r="G210" s="358">
        <v>0.0</v>
      </c>
    </row>
    <row r="211" ht="22.5" customHeight="1">
      <c r="A211" s="123" t="s">
        <v>461</v>
      </c>
      <c r="B211" s="360"/>
      <c r="C211" s="358">
        <v>0.0</v>
      </c>
      <c r="D211" s="358">
        <v>0.0</v>
      </c>
      <c r="E211" s="358">
        <v>0.0</v>
      </c>
      <c r="G211" s="358">
        <v>0.0</v>
      </c>
    </row>
    <row r="212" ht="22.5" customHeight="1">
      <c r="A212" s="123" t="s">
        <v>339</v>
      </c>
      <c r="B212" s="360"/>
      <c r="C212" s="358">
        <v>0.0</v>
      </c>
      <c r="D212" s="358">
        <v>0.0</v>
      </c>
      <c r="E212" s="358">
        <v>0.0</v>
      </c>
      <c r="G212" s="358">
        <v>0.0</v>
      </c>
    </row>
    <row r="213" ht="22.5" customHeight="1">
      <c r="A213" s="123" t="s">
        <v>460</v>
      </c>
      <c r="B213" s="122" t="s">
        <v>505</v>
      </c>
      <c r="C213" s="358">
        <v>2.5</v>
      </c>
      <c r="D213" s="358">
        <v>3.0</v>
      </c>
      <c r="E213" s="358">
        <v>24.0</v>
      </c>
      <c r="G213" s="358">
        <v>0.0</v>
      </c>
    </row>
    <row r="214" ht="22.5" customHeight="1">
      <c r="A214" s="123" t="s">
        <v>463</v>
      </c>
      <c r="B214" s="122" t="s">
        <v>505</v>
      </c>
      <c r="C214" s="358">
        <v>0.42</v>
      </c>
      <c r="D214" s="358">
        <v>1.0</v>
      </c>
      <c r="E214" s="358">
        <v>24.0</v>
      </c>
      <c r="G214" s="358">
        <v>0.0</v>
      </c>
    </row>
    <row r="215" ht="22.5" customHeight="1">
      <c r="A215" s="123" t="s">
        <v>464</v>
      </c>
      <c r="B215" s="122" t="s">
        <v>505</v>
      </c>
      <c r="C215" s="358">
        <v>0.45</v>
      </c>
      <c r="D215" s="358">
        <v>1.0</v>
      </c>
      <c r="E215" s="358">
        <v>24.0</v>
      </c>
      <c r="G215" s="358">
        <v>0.0</v>
      </c>
    </row>
    <row r="216" ht="22.5" customHeight="1">
      <c r="A216" s="123" t="s">
        <v>465</v>
      </c>
      <c r="B216" s="122" t="s">
        <v>505</v>
      </c>
      <c r="C216" s="358">
        <v>1.8</v>
      </c>
      <c r="D216" s="358">
        <v>3.0</v>
      </c>
      <c r="E216" s="358">
        <v>12.0</v>
      </c>
      <c r="G216" s="358">
        <v>0.0</v>
      </c>
    </row>
    <row r="217" ht="22.5" customHeight="1">
      <c r="A217" s="123" t="s">
        <v>510</v>
      </c>
      <c r="B217" s="122" t="s">
        <v>505</v>
      </c>
      <c r="C217" s="358">
        <v>2.7</v>
      </c>
      <c r="D217" s="358">
        <v>3.0</v>
      </c>
      <c r="E217" s="358">
        <v>24.0</v>
      </c>
      <c r="G217" s="358">
        <v>0.0</v>
      </c>
    </row>
    <row r="218" ht="22.5" customHeight="1">
      <c r="A218" s="123" t="s">
        <v>467</v>
      </c>
      <c r="B218" s="122" t="s">
        <v>505</v>
      </c>
      <c r="C218" s="358">
        <v>3.0</v>
      </c>
      <c r="D218" s="358">
        <v>5.0</v>
      </c>
      <c r="E218" s="358">
        <v>25.0</v>
      </c>
      <c r="G218" s="358">
        <v>0.0</v>
      </c>
    </row>
    <row r="219" ht="22.5" customHeight="1">
      <c r="A219" s="123" t="s">
        <v>468</v>
      </c>
      <c r="B219" s="122" t="s">
        <v>505</v>
      </c>
      <c r="C219" s="358">
        <v>1.9</v>
      </c>
      <c r="D219" s="358">
        <v>3.0</v>
      </c>
      <c r="E219" s="358">
        <v>30.0</v>
      </c>
      <c r="G219" s="358">
        <v>0.0</v>
      </c>
    </row>
    <row r="220" ht="22.5" customHeight="1">
      <c r="A220" s="123" t="s">
        <v>469</v>
      </c>
      <c r="B220" s="122" t="s">
        <v>505</v>
      </c>
      <c r="C220" s="358">
        <v>1.25</v>
      </c>
      <c r="D220" s="358">
        <v>2.0</v>
      </c>
      <c r="E220" s="358">
        <v>24.0</v>
      </c>
      <c r="G220" s="358">
        <v>0.0</v>
      </c>
    </row>
    <row r="221" ht="22.5" customHeight="1">
      <c r="A221" s="123" t="s">
        <v>432</v>
      </c>
      <c r="B221" s="122" t="s">
        <v>505</v>
      </c>
      <c r="C221" s="358">
        <v>1.54</v>
      </c>
      <c r="D221" s="358">
        <v>2.0</v>
      </c>
      <c r="E221" s="358">
        <v>24.0</v>
      </c>
      <c r="G221" s="358">
        <v>0.0</v>
      </c>
    </row>
    <row r="222" ht="22.5" customHeight="1">
      <c r="A222" s="123" t="s">
        <v>455</v>
      </c>
      <c r="B222" s="122" t="s">
        <v>505</v>
      </c>
      <c r="C222" s="358">
        <v>1.33</v>
      </c>
      <c r="D222" s="358">
        <v>2.0</v>
      </c>
      <c r="E222" s="358">
        <v>24.0</v>
      </c>
      <c r="G222" s="358">
        <v>0.0</v>
      </c>
    </row>
    <row r="223" ht="22.5" customHeight="1">
      <c r="A223" s="123" t="s">
        <v>470</v>
      </c>
      <c r="B223" s="360"/>
      <c r="C223" s="358">
        <v>0.0</v>
      </c>
      <c r="D223" s="358">
        <v>0.0</v>
      </c>
      <c r="E223" s="358">
        <v>0.0</v>
      </c>
      <c r="G223" s="358">
        <v>0.0</v>
      </c>
    </row>
    <row r="224" ht="22.5" customHeight="1">
      <c r="A224" s="123" t="s">
        <v>471</v>
      </c>
      <c r="B224" s="122" t="s">
        <v>505</v>
      </c>
      <c r="C224" s="358">
        <v>0.91</v>
      </c>
      <c r="D224" s="358">
        <v>2.0</v>
      </c>
      <c r="E224" s="358">
        <v>24.0</v>
      </c>
      <c r="G224" s="358">
        <v>0.0</v>
      </c>
    </row>
    <row r="225" ht="22.5" customHeight="1">
      <c r="A225" s="123" t="s">
        <v>469</v>
      </c>
      <c r="B225" s="122" t="s">
        <v>505</v>
      </c>
      <c r="C225" s="358">
        <v>1.12</v>
      </c>
      <c r="D225" s="358">
        <v>2.0</v>
      </c>
      <c r="E225" s="358">
        <v>24.0</v>
      </c>
      <c r="G225" s="358">
        <v>0.0</v>
      </c>
    </row>
    <row r="226" ht="22.5" customHeight="1">
      <c r="A226" s="123" t="s">
        <v>472</v>
      </c>
      <c r="B226" s="122" t="s">
        <v>505</v>
      </c>
      <c r="C226" s="358">
        <v>1.83</v>
      </c>
      <c r="D226" s="358">
        <v>3.0</v>
      </c>
      <c r="E226" s="358">
        <v>12.0</v>
      </c>
      <c r="G226" s="358">
        <v>0.0</v>
      </c>
    </row>
    <row r="227" ht="22.5" customHeight="1">
      <c r="A227" s="123" t="s">
        <v>473</v>
      </c>
      <c r="B227" s="122" t="s">
        <v>505</v>
      </c>
      <c r="C227" s="358">
        <v>3.86</v>
      </c>
      <c r="D227" s="358">
        <v>5.0</v>
      </c>
      <c r="E227" s="358">
        <v>30.0</v>
      </c>
      <c r="G227" s="358">
        <v>0.0</v>
      </c>
    </row>
    <row r="228" ht="22.5" customHeight="1">
      <c r="A228" s="123" t="s">
        <v>474</v>
      </c>
      <c r="B228" s="122" t="s">
        <v>505</v>
      </c>
      <c r="C228" s="358">
        <v>1.5</v>
      </c>
      <c r="D228" s="358">
        <v>3.0</v>
      </c>
      <c r="E228" s="358">
        <v>40.0</v>
      </c>
      <c r="G228" s="358">
        <v>0.0</v>
      </c>
    </row>
    <row r="229" ht="22.5" customHeight="1">
      <c r="A229" s="123" t="s">
        <v>475</v>
      </c>
      <c r="B229" s="122" t="s">
        <v>505</v>
      </c>
      <c r="C229" s="358">
        <v>2.41</v>
      </c>
      <c r="D229" s="358">
        <v>4.0</v>
      </c>
      <c r="E229" s="358">
        <v>24.0</v>
      </c>
      <c r="G229" s="358">
        <v>0.0</v>
      </c>
    </row>
    <row r="230" ht="22.5" customHeight="1">
      <c r="A230" s="123" t="s">
        <v>476</v>
      </c>
      <c r="B230" s="122" t="s">
        <v>505</v>
      </c>
      <c r="C230" s="358">
        <v>3.0</v>
      </c>
      <c r="D230" s="358">
        <v>4.0</v>
      </c>
      <c r="E230" s="358">
        <v>14.0</v>
      </c>
      <c r="G230" s="358">
        <v>0.0</v>
      </c>
    </row>
    <row r="231" ht="22.5" customHeight="1">
      <c r="A231" s="123" t="s">
        <v>477</v>
      </c>
      <c r="B231" s="122" t="s">
        <v>505</v>
      </c>
      <c r="C231" s="358">
        <v>2.0</v>
      </c>
      <c r="D231" s="358">
        <v>3.0</v>
      </c>
      <c r="E231" s="358">
        <v>24.0</v>
      </c>
      <c r="G231" s="358">
        <v>0.0</v>
      </c>
    </row>
    <row r="232" ht="22.5" customHeight="1">
      <c r="A232" s="123" t="s">
        <v>465</v>
      </c>
      <c r="B232" s="122" t="s">
        <v>505</v>
      </c>
      <c r="C232" s="358">
        <v>0.91</v>
      </c>
      <c r="D232" s="358">
        <v>3.0</v>
      </c>
      <c r="E232" s="358">
        <v>12.0</v>
      </c>
      <c r="G232" s="358">
        <v>0.0</v>
      </c>
    </row>
    <row r="233" ht="22.5" customHeight="1">
      <c r="A233" s="123" t="s">
        <v>478</v>
      </c>
      <c r="B233" s="122" t="s">
        <v>505</v>
      </c>
      <c r="C233" s="358">
        <v>2.83</v>
      </c>
      <c r="D233" s="358">
        <v>4.0</v>
      </c>
      <c r="E233" s="358">
        <v>12.0</v>
      </c>
      <c r="G233" s="358">
        <v>0.0</v>
      </c>
    </row>
    <row r="234" ht="22.5" customHeight="1">
      <c r="A234" s="123" t="s">
        <v>479</v>
      </c>
      <c r="B234" s="122" t="s">
        <v>505</v>
      </c>
      <c r="C234" s="358">
        <v>4.42</v>
      </c>
      <c r="D234" s="358">
        <v>6.0</v>
      </c>
      <c r="E234" s="358">
        <v>12.0</v>
      </c>
      <c r="G234" s="358">
        <v>0.0</v>
      </c>
    </row>
    <row r="235" ht="22.5" customHeight="1">
      <c r="A235" s="123" t="s">
        <v>480</v>
      </c>
      <c r="B235" s="122" t="s">
        <v>505</v>
      </c>
      <c r="C235" s="358">
        <v>0.42</v>
      </c>
      <c r="D235" s="358">
        <v>1.0</v>
      </c>
      <c r="E235" s="358">
        <v>24.0</v>
      </c>
      <c r="G235" s="358">
        <v>0.0</v>
      </c>
    </row>
    <row r="236" ht="22.5" customHeight="1">
      <c r="A236" s="123" t="s">
        <v>481</v>
      </c>
      <c r="B236" s="122" t="s">
        <v>505</v>
      </c>
      <c r="C236" s="358">
        <v>1.37</v>
      </c>
      <c r="D236" s="358">
        <v>2.0</v>
      </c>
      <c r="E236" s="358">
        <v>24.0</v>
      </c>
      <c r="G236" s="358">
        <v>0.0</v>
      </c>
    </row>
    <row r="237" ht="22.5" customHeight="1">
      <c r="A237" s="123" t="s">
        <v>482</v>
      </c>
      <c r="B237" s="360"/>
      <c r="C237" s="358">
        <v>0.0</v>
      </c>
      <c r="D237" s="358">
        <v>0.0</v>
      </c>
      <c r="E237" s="358">
        <v>0.0</v>
      </c>
      <c r="G237" s="358">
        <v>0.0</v>
      </c>
    </row>
    <row r="238" ht="22.5" customHeight="1">
      <c r="A238" s="123" t="s">
        <v>478</v>
      </c>
      <c r="B238" s="122" t="s">
        <v>505</v>
      </c>
      <c r="C238" s="358">
        <v>2.83</v>
      </c>
      <c r="D238" s="358">
        <v>5.0</v>
      </c>
      <c r="E238" s="358">
        <v>12.0</v>
      </c>
      <c r="G238" s="358">
        <v>0.0</v>
      </c>
    </row>
    <row r="239" ht="22.5" customHeight="1">
      <c r="A239" s="123" t="s">
        <v>479</v>
      </c>
      <c r="B239" s="122" t="s">
        <v>505</v>
      </c>
      <c r="C239" s="358">
        <v>4.42</v>
      </c>
      <c r="D239" s="358">
        <v>6.0</v>
      </c>
      <c r="E239" s="358">
        <v>12.0</v>
      </c>
      <c r="G239" s="358">
        <v>0.0</v>
      </c>
    </row>
    <row r="240" ht="22.5" customHeight="1">
      <c r="A240" s="123" t="s">
        <v>483</v>
      </c>
      <c r="B240" s="122" t="s">
        <v>505</v>
      </c>
      <c r="C240" s="358">
        <v>1.83</v>
      </c>
      <c r="D240" s="358">
        <v>3.0</v>
      </c>
      <c r="E240" s="358">
        <v>12.0</v>
      </c>
      <c r="G240" s="358">
        <v>0.0</v>
      </c>
    </row>
    <row r="241" ht="22.5" customHeight="1">
      <c r="A241" s="123" t="s">
        <v>480</v>
      </c>
      <c r="B241" s="122" t="s">
        <v>505</v>
      </c>
      <c r="C241" s="358">
        <v>0.42</v>
      </c>
      <c r="D241" s="358">
        <v>1.0</v>
      </c>
      <c r="E241" s="358">
        <v>24.0</v>
      </c>
      <c r="G241" s="358">
        <v>0.0</v>
      </c>
    </row>
    <row r="242" ht="22.5" customHeight="1">
      <c r="A242" s="123" t="s">
        <v>484</v>
      </c>
      <c r="B242" s="122" t="s">
        <v>505</v>
      </c>
      <c r="C242" s="358">
        <v>2.9</v>
      </c>
      <c r="D242" s="358">
        <v>4.0</v>
      </c>
      <c r="E242" s="358">
        <v>24.0</v>
      </c>
      <c r="G242" s="358">
        <v>0.0</v>
      </c>
    </row>
    <row r="243" ht="22.5" customHeight="1">
      <c r="A243" s="123" t="s">
        <v>475</v>
      </c>
      <c r="B243" s="122" t="s">
        <v>505</v>
      </c>
      <c r="C243" s="358">
        <v>2.41</v>
      </c>
      <c r="D243" s="358">
        <v>4.0</v>
      </c>
      <c r="E243" s="358">
        <v>24.0</v>
      </c>
      <c r="G243" s="358">
        <v>0.0</v>
      </c>
    </row>
    <row r="244" ht="22.5" customHeight="1">
      <c r="A244" s="123" t="s">
        <v>476</v>
      </c>
      <c r="B244" s="122" t="s">
        <v>505</v>
      </c>
      <c r="C244" s="358">
        <v>3.0</v>
      </c>
      <c r="D244" s="358">
        <v>4.0</v>
      </c>
      <c r="E244" s="358">
        <v>14.0</v>
      </c>
      <c r="G244" s="358">
        <v>0.0</v>
      </c>
    </row>
    <row r="245" ht="22.5" customHeight="1">
      <c r="A245" s="123" t="s">
        <v>473</v>
      </c>
      <c r="B245" s="122" t="s">
        <v>505</v>
      </c>
      <c r="C245" s="358">
        <v>3.83</v>
      </c>
      <c r="D245" s="358">
        <v>5.0</v>
      </c>
      <c r="E245" s="358">
        <v>30.0</v>
      </c>
      <c r="G245" s="358">
        <v>0.0</v>
      </c>
    </row>
    <row r="246" ht="22.5" customHeight="1">
      <c r="A246" s="123" t="s">
        <v>473</v>
      </c>
      <c r="B246" s="122" t="s">
        <v>505</v>
      </c>
      <c r="C246" s="358">
        <v>3.93</v>
      </c>
      <c r="D246" s="358">
        <v>5.0</v>
      </c>
      <c r="E246" s="358">
        <v>30.0</v>
      </c>
      <c r="G246" s="358">
        <v>0.0</v>
      </c>
    </row>
    <row r="247" ht="22.5" customHeight="1">
      <c r="A247" s="123" t="s">
        <v>481</v>
      </c>
      <c r="B247" s="122" t="s">
        <v>505</v>
      </c>
      <c r="C247" s="358">
        <v>1.37</v>
      </c>
      <c r="D247" s="358">
        <v>2.0</v>
      </c>
      <c r="E247" s="358">
        <v>24.0</v>
      </c>
      <c r="G247" s="358">
        <v>0.0</v>
      </c>
    </row>
    <row r="248" ht="22.5" customHeight="1">
      <c r="A248" s="123" t="s">
        <v>467</v>
      </c>
      <c r="B248" s="122" t="s">
        <v>505</v>
      </c>
      <c r="C248" s="358">
        <v>2.76</v>
      </c>
      <c r="D248" s="358">
        <v>4.0</v>
      </c>
      <c r="E248" s="358">
        <v>25.0</v>
      </c>
      <c r="G248" s="358">
        <v>0.0</v>
      </c>
    </row>
    <row r="249" ht="22.5" customHeight="1">
      <c r="A249" s="123" t="s">
        <v>485</v>
      </c>
      <c r="B249" s="122" t="s">
        <v>505</v>
      </c>
      <c r="C249" s="358">
        <v>1.79</v>
      </c>
      <c r="D249" s="358">
        <v>3.0</v>
      </c>
      <c r="E249" s="358">
        <v>24.0</v>
      </c>
      <c r="G249" s="358">
        <v>0.0</v>
      </c>
    </row>
    <row r="250" ht="22.5" customHeight="1">
      <c r="A250" s="123" t="s">
        <v>469</v>
      </c>
      <c r="B250" s="122" t="s">
        <v>505</v>
      </c>
      <c r="C250" s="358">
        <v>1.12</v>
      </c>
      <c r="D250" s="358">
        <v>2.0</v>
      </c>
      <c r="E250" s="358">
        <v>24.0</v>
      </c>
      <c r="G250" s="358">
        <v>0.0</v>
      </c>
    </row>
    <row r="251" ht="22.5" customHeight="1">
      <c r="A251" s="123" t="s">
        <v>477</v>
      </c>
      <c r="B251" s="122" t="s">
        <v>505</v>
      </c>
      <c r="C251" s="358">
        <v>2.58</v>
      </c>
      <c r="D251" s="358">
        <v>3.0</v>
      </c>
      <c r="E251" s="358">
        <v>24.0</v>
      </c>
      <c r="G251" s="358">
        <v>0.0</v>
      </c>
    </row>
    <row r="252" ht="22.5" customHeight="1">
      <c r="A252" s="123" t="s">
        <v>477</v>
      </c>
      <c r="B252" s="122" t="s">
        <v>505</v>
      </c>
      <c r="C252" s="358">
        <v>2.58</v>
      </c>
      <c r="D252" s="358">
        <v>4.0</v>
      </c>
      <c r="E252" s="358">
        <v>24.0</v>
      </c>
      <c r="G252" s="358">
        <v>0.0</v>
      </c>
    </row>
    <row r="253" ht="22.5" customHeight="1">
      <c r="A253" s="123" t="s">
        <v>486</v>
      </c>
      <c r="B253" s="122" t="s">
        <v>505</v>
      </c>
      <c r="C253" s="358">
        <v>3.33</v>
      </c>
      <c r="D253" s="358">
        <v>5.0</v>
      </c>
      <c r="E253" s="358">
        <v>8.0</v>
      </c>
      <c r="G253" s="358">
        <v>0.0</v>
      </c>
    </row>
    <row r="254" ht="22.5" customHeight="1">
      <c r="A254" s="123" t="s">
        <v>487</v>
      </c>
      <c r="B254" s="360"/>
      <c r="C254" s="358">
        <v>0.0</v>
      </c>
      <c r="D254" s="358">
        <v>0.0</v>
      </c>
      <c r="E254" s="358">
        <v>0.0</v>
      </c>
      <c r="G254" s="358">
        <v>0.0</v>
      </c>
    </row>
    <row r="255" ht="22.5" customHeight="1">
      <c r="A255" s="123" t="s">
        <v>485</v>
      </c>
      <c r="B255" s="122" t="s">
        <v>505</v>
      </c>
      <c r="C255" s="358">
        <v>1.79</v>
      </c>
      <c r="D255" s="358">
        <v>3.0</v>
      </c>
      <c r="E255" s="358">
        <v>24.0</v>
      </c>
      <c r="G255" s="358">
        <v>0.0</v>
      </c>
    </row>
    <row r="256" ht="22.5" customHeight="1">
      <c r="A256" s="123" t="s">
        <v>469</v>
      </c>
      <c r="B256" s="122" t="s">
        <v>505</v>
      </c>
      <c r="C256" s="358">
        <v>1.12</v>
      </c>
      <c r="D256" s="358">
        <v>2.0</v>
      </c>
      <c r="E256" s="358">
        <v>24.0</v>
      </c>
      <c r="G256" s="358">
        <v>0.0</v>
      </c>
    </row>
    <row r="257" ht="22.5" customHeight="1">
      <c r="A257" s="123" t="s">
        <v>511</v>
      </c>
      <c r="B257" s="122" t="s">
        <v>505</v>
      </c>
      <c r="C257" s="358">
        <v>3.12</v>
      </c>
      <c r="D257" s="358">
        <v>4.0</v>
      </c>
      <c r="E257" s="358">
        <v>40.0</v>
      </c>
      <c r="G257" s="358">
        <v>0.0</v>
      </c>
    </row>
    <row r="258" ht="22.5" customHeight="1">
      <c r="A258" s="123" t="s">
        <v>511</v>
      </c>
      <c r="B258" s="122" t="s">
        <v>505</v>
      </c>
      <c r="C258" s="358">
        <v>4.12</v>
      </c>
      <c r="D258" s="358">
        <v>5.0</v>
      </c>
      <c r="E258" s="358">
        <v>40.0</v>
      </c>
      <c r="G258" s="358">
        <v>0.0</v>
      </c>
    </row>
    <row r="259" ht="22.5" customHeight="1">
      <c r="A259" s="123" t="s">
        <v>472</v>
      </c>
      <c r="B259" s="122" t="s">
        <v>505</v>
      </c>
      <c r="C259" s="358">
        <v>1.83</v>
      </c>
      <c r="D259" s="358">
        <v>3.0</v>
      </c>
      <c r="E259" s="358">
        <v>12.0</v>
      </c>
      <c r="G259" s="358">
        <v>0.0</v>
      </c>
    </row>
    <row r="260" ht="22.5" customHeight="1">
      <c r="A260" s="123" t="s">
        <v>481</v>
      </c>
      <c r="B260" s="122" t="s">
        <v>505</v>
      </c>
      <c r="C260" s="358">
        <v>1.37</v>
      </c>
      <c r="D260" s="358">
        <v>2.0</v>
      </c>
      <c r="E260" s="358">
        <v>24.0</v>
      </c>
      <c r="G260" s="358">
        <v>0.0</v>
      </c>
    </row>
    <row r="261" ht="22.5" customHeight="1">
      <c r="A261" s="123" t="s">
        <v>481</v>
      </c>
      <c r="B261" s="122" t="s">
        <v>505</v>
      </c>
      <c r="C261" s="358">
        <v>1.75</v>
      </c>
      <c r="D261" s="358">
        <v>3.0</v>
      </c>
      <c r="E261" s="358">
        <v>24.0</v>
      </c>
      <c r="G261" s="358">
        <v>0.0</v>
      </c>
    </row>
    <row r="262" ht="22.5" customHeight="1">
      <c r="A262" s="123" t="s">
        <v>476</v>
      </c>
      <c r="B262" s="122" t="s">
        <v>505</v>
      </c>
      <c r="C262" s="358">
        <v>3.0</v>
      </c>
      <c r="D262" s="358">
        <v>5.0</v>
      </c>
      <c r="E262" s="358">
        <v>14.0</v>
      </c>
      <c r="G262" s="358">
        <v>0.0</v>
      </c>
    </row>
    <row r="263" ht="22.5" customHeight="1">
      <c r="A263" s="123" t="s">
        <v>476</v>
      </c>
      <c r="B263" s="122" t="s">
        <v>505</v>
      </c>
      <c r="C263" s="358">
        <v>3.5</v>
      </c>
      <c r="D263" s="358">
        <v>5.0</v>
      </c>
      <c r="E263" s="358">
        <v>14.0</v>
      </c>
      <c r="G263" s="358">
        <v>0.0</v>
      </c>
    </row>
    <row r="264" ht="22.5" customHeight="1">
      <c r="A264" s="123" t="s">
        <v>478</v>
      </c>
      <c r="B264" s="122" t="s">
        <v>505</v>
      </c>
      <c r="C264" s="358">
        <v>2.83</v>
      </c>
      <c r="D264" s="358">
        <v>5.0</v>
      </c>
      <c r="E264" s="358">
        <v>12.0</v>
      </c>
      <c r="G264" s="358">
        <v>0.0</v>
      </c>
    </row>
    <row r="265" ht="22.5" customHeight="1">
      <c r="A265" s="123" t="s">
        <v>479</v>
      </c>
      <c r="B265" s="122" t="s">
        <v>505</v>
      </c>
      <c r="C265" s="358">
        <v>4.42</v>
      </c>
      <c r="D265" s="358">
        <v>6.0</v>
      </c>
      <c r="E265" s="358">
        <v>12.0</v>
      </c>
      <c r="G265" s="358">
        <v>0.0</v>
      </c>
    </row>
    <row r="266" ht="22.5" customHeight="1">
      <c r="A266" s="123" t="s">
        <v>480</v>
      </c>
      <c r="B266" s="122" t="s">
        <v>505</v>
      </c>
      <c r="C266" s="358">
        <v>0.42</v>
      </c>
      <c r="D266" s="358">
        <v>1.0</v>
      </c>
      <c r="E266" s="358">
        <v>24.0</v>
      </c>
      <c r="G266" s="358">
        <v>0.0</v>
      </c>
    </row>
    <row r="267" ht="22.5" customHeight="1">
      <c r="A267" s="123" t="s">
        <v>473</v>
      </c>
      <c r="B267" s="122" t="s">
        <v>505</v>
      </c>
      <c r="C267" s="358">
        <v>3.93</v>
      </c>
      <c r="D267" s="358">
        <v>5.0</v>
      </c>
      <c r="E267" s="358">
        <v>30.0</v>
      </c>
      <c r="G267" s="358">
        <v>0.0</v>
      </c>
    </row>
    <row r="268" ht="22.5" customHeight="1">
      <c r="A268" s="123" t="s">
        <v>475</v>
      </c>
      <c r="B268" s="122" t="s">
        <v>505</v>
      </c>
      <c r="C268" s="358">
        <v>3.2</v>
      </c>
      <c r="D268" s="358">
        <v>4.0</v>
      </c>
      <c r="E268" s="358">
        <v>24.0</v>
      </c>
      <c r="G268" s="358">
        <v>0.0</v>
      </c>
    </row>
    <row r="269" ht="22.5" customHeight="1">
      <c r="A269" s="123" t="s">
        <v>477</v>
      </c>
      <c r="B269" s="122" t="s">
        <v>505</v>
      </c>
      <c r="C269" s="358">
        <v>2.58</v>
      </c>
      <c r="D269" s="358">
        <v>4.0</v>
      </c>
      <c r="E269" s="358">
        <v>24.0</v>
      </c>
      <c r="G269" s="358">
        <v>0.0</v>
      </c>
    </row>
    <row r="270" ht="22.5" customHeight="1">
      <c r="A270" s="123" t="s">
        <v>489</v>
      </c>
      <c r="B270" s="122" t="s">
        <v>505</v>
      </c>
      <c r="C270" s="358">
        <v>0.5</v>
      </c>
      <c r="D270" s="358">
        <v>1.0</v>
      </c>
      <c r="E270" s="358">
        <v>20.0</v>
      </c>
      <c r="G270" s="358">
        <v>0.0</v>
      </c>
    </row>
    <row r="271" ht="22.5" customHeight="1">
      <c r="A271" s="123" t="s">
        <v>486</v>
      </c>
      <c r="B271" s="122" t="s">
        <v>505</v>
      </c>
      <c r="C271" s="358">
        <v>3.33</v>
      </c>
      <c r="D271" s="358">
        <v>5.0</v>
      </c>
      <c r="E271" s="358">
        <v>8.0</v>
      </c>
      <c r="G271" s="358">
        <v>0.0</v>
      </c>
    </row>
    <row r="272" ht="22.5" customHeight="1">
      <c r="A272" s="123" t="s">
        <v>490</v>
      </c>
      <c r="B272" s="122" t="s">
        <v>505</v>
      </c>
      <c r="C272" s="358">
        <v>3.92</v>
      </c>
      <c r="D272" s="358">
        <v>5.0</v>
      </c>
      <c r="E272" s="358">
        <v>25.0</v>
      </c>
      <c r="G272" s="358">
        <v>0.0</v>
      </c>
    </row>
    <row r="273" ht="22.5" customHeight="1">
      <c r="A273" s="123" t="s">
        <v>472</v>
      </c>
      <c r="B273" s="122" t="s">
        <v>505</v>
      </c>
      <c r="C273" s="358">
        <v>1.83</v>
      </c>
      <c r="D273" s="358">
        <v>3.0</v>
      </c>
      <c r="E273" s="358">
        <v>12.0</v>
      </c>
      <c r="G273" s="358">
        <v>0.0</v>
      </c>
    </row>
    <row r="274" ht="22.5" customHeight="1">
      <c r="A274" s="123" t="s">
        <v>375</v>
      </c>
      <c r="B274" s="360"/>
      <c r="C274" s="358">
        <v>0.0</v>
      </c>
      <c r="D274" s="358">
        <v>0.0</v>
      </c>
      <c r="E274" s="358">
        <v>0.0</v>
      </c>
      <c r="G274" s="358">
        <v>0.0</v>
      </c>
    </row>
  </sheetData>
  <dataValidations>
    <dataValidation type="custom" allowBlank="1" showDropDown="1" sqref="C2:E274 G2:G274">
      <formula1>AND(ISNUMBER(C2),(NOT(OR(NOT(ISERROR(DATEVALUE(C2))), AND(ISNUMBER(C2), LEFT(CELL("format", C2))="D")))))</formula1>
    </dataValidation>
    <dataValidation type="list" allowBlank="1" showDropDown="1" showErrorMessage="1" sqref="B2:B274">
      <formula1>"Drink,Chips,Snack"</formula1>
    </dataValidation>
  </dataValidations>
  <drawing r:id="rId1"/>
  <tableParts count="1">
    <tablePart r:id="rId3"/>
  </tableParts>
</worksheet>
</file>